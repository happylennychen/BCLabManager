
<file path=[Content_Types].xml><?xml version="1.0" encoding="utf-8"?>
<Types xmlns="http://schemas.openxmlformats.org/package/2006/content-types">
  <Override PartName="/xl/worksheets/sheet15.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240" yWindow="105" windowWidth="12210" windowHeight="6945" firstSheet="2" activeTab="6"/>
  </bookViews>
  <sheets>
    <sheet name="Version History" sheetId="19" r:id="rId1"/>
    <sheet name="Introduction" sheetId="16" r:id="rId2"/>
    <sheet name="Issue List" sheetId="15" r:id="rId3"/>
    <sheet name="Tester" sheetId="13" r:id="rId4"/>
    <sheet name="Chamber" sheetId="14" r:id="rId5"/>
    <sheet name="Battery Models" sheetId="4" r:id="rId6"/>
    <sheet name="Batteries" sheetId="5" r:id="rId7"/>
    <sheet name="Storage Records" sheetId="6" r:id="rId8"/>
    <sheet name="Programs" sheetId="12" r:id="rId9"/>
    <sheet name="Sub Programs" sheetId="17" r:id="rId10"/>
    <sheet name="Recipes" sheetId="21" r:id="rId11"/>
    <sheet name="Chamber Recipes" sheetId="20" r:id="rId12"/>
    <sheet name="Tester Recipes" sheetId="9" r:id="rId13"/>
    <sheet name="Requests" sheetId="18" r:id="rId14"/>
    <sheet name="Scheduler" sheetId="11" r:id="rId15"/>
  </sheets>
  <functionGroups/>
  <calcPr calcId="125725"/>
</workbook>
</file>

<file path=xl/calcChain.xml><?xml version="1.0" encoding="utf-8"?>
<calcChain xmlns="http://schemas.openxmlformats.org/spreadsheetml/2006/main">
  <c r="L9" i="18"/>
  <c r="K9" s="1"/>
  <c r="L8"/>
  <c r="K8" s="1"/>
  <c r="L7"/>
  <c r="K7" s="1"/>
  <c r="L6"/>
  <c r="K6" s="1"/>
  <c r="L5"/>
  <c r="K5"/>
  <c r="L4"/>
  <c r="K4" s="1"/>
  <c r="L3"/>
  <c r="K3" s="1"/>
  <c r="L2"/>
  <c r="K2" s="1"/>
  <c r="S32" i="11"/>
  <c r="S33"/>
  <c r="S34"/>
  <c r="S35"/>
  <c r="S36"/>
  <c r="S37"/>
  <c r="S38"/>
  <c r="S20"/>
  <c r="S21"/>
  <c r="S22"/>
  <c r="S23"/>
  <c r="S24"/>
  <c r="S25"/>
  <c r="S26"/>
  <c r="S27"/>
  <c r="S28"/>
  <c r="S29"/>
  <c r="S30"/>
  <c r="S31"/>
  <c r="S19"/>
  <c r="S18"/>
  <c r="S17"/>
  <c r="S16"/>
  <c r="S15"/>
  <c r="S14"/>
  <c r="S13"/>
  <c r="S12"/>
  <c r="S11"/>
  <c r="S10"/>
  <c r="S9"/>
  <c r="S8"/>
  <c r="S7"/>
  <c r="S6"/>
  <c r="S5"/>
  <c r="S4"/>
  <c r="S3"/>
  <c r="S2"/>
</calcChain>
</file>

<file path=xl/sharedStrings.xml><?xml version="1.0" encoding="utf-8"?>
<sst xmlns="http://schemas.openxmlformats.org/spreadsheetml/2006/main" count="444" uniqueCount="277">
  <si>
    <t>Manufactor</t>
  </si>
  <si>
    <t>Oppo</t>
  </si>
  <si>
    <t>BLP663</t>
  </si>
  <si>
    <t>Material</t>
  </si>
  <si>
    <t>Li-ion Plymer Battery</t>
  </si>
  <si>
    <t>Limited Charge Voltage</t>
  </si>
  <si>
    <t>4.4V</t>
  </si>
  <si>
    <t>Rated Capacity</t>
  </si>
  <si>
    <t>3365mAh</t>
  </si>
  <si>
    <t>Nominal Voltage</t>
  </si>
  <si>
    <t>3.85V</t>
  </si>
  <si>
    <t>Typical Capacity</t>
  </si>
  <si>
    <t>3450mAh</t>
  </si>
  <si>
    <t>Cut-off Discharge Voltage</t>
  </si>
  <si>
    <t>3.2V</t>
  </si>
  <si>
    <t>Battery ID</t>
  </si>
  <si>
    <t>Cycle Count</t>
  </si>
  <si>
    <t>Name</t>
  </si>
  <si>
    <t>Status</t>
  </si>
  <si>
    <t>Slot</t>
  </si>
  <si>
    <t>Operator</t>
  </si>
  <si>
    <t>Time</t>
  </si>
  <si>
    <t>Description</t>
  </si>
  <si>
    <t>BLP663-1</t>
  </si>
  <si>
    <t>BLP663-2</t>
  </si>
  <si>
    <t>BLP663-3</t>
  </si>
  <si>
    <t>BLP663-4</t>
  </si>
  <si>
    <t>In</t>
  </si>
  <si>
    <t>A1</t>
  </si>
  <si>
    <t>A2</t>
  </si>
  <si>
    <t>A3</t>
  </si>
  <si>
    <t>A4</t>
  </si>
  <si>
    <t>Leon</t>
  </si>
  <si>
    <t>Arrived</t>
  </si>
  <si>
    <t>Out</t>
  </si>
  <si>
    <t>\</t>
  </si>
  <si>
    <t>Recipe ID</t>
  </si>
  <si>
    <t>Steps</t>
  </si>
  <si>
    <t>1. CC To CV, 4.4V, 0.69A. Cut-off 0.069A
2. Rest for 3600s
3. Discharge with 500mA, Cut-off 3.2V</t>
  </si>
  <si>
    <t>1. CC To CV, 4.4V, 0.69A. Cut-off 0.069A
2. Rest for 3600s</t>
  </si>
  <si>
    <t>1. CC To CV, 4.4V, 0.69A. Cut-off 0.069A
2. Rest for 3600s
3. Discharge with 1700mA, Cut-off 3.2V</t>
  </si>
  <si>
    <t>1. CC To CV, 4.4V, 0.69A. Cut-off 0.069A
2. Rest for 3600s
3. Discharge with 3000mA, Cut-off 3.2V</t>
  </si>
  <si>
    <t>1. Discharge with 500mA, Cut-off 3.2V</t>
  </si>
  <si>
    <t>1. Discharge with 3000mA, Cut-off 3.2V</t>
  </si>
  <si>
    <t>1. Discharge with 3500mA, Cut-off 3.2V</t>
  </si>
  <si>
    <t>1. CC To CV, 4.4V, 0.69A. Cut-off 0.069A
2. Rest for 3600s
3. Discharge with 500mA, Cut-off 15min
4. Rest for 3600s
5. Discharge with 1500mA, Cut-off 20min
6. Rest for 3600s
7. Discharge with 3000mA, Cut-off 10min
8. If voltage is not under 3.2V, jump to step 3. Else stop</t>
  </si>
  <si>
    <t>1. CC To CV, 4.4V, 0.69A. Cut-off 0.069A
2. Rest for 3600s
3. Discharge with 5175mA, Cut-off 15min
4. Rest for 3600s
5. Discharge with 3450mA, Cut-off 20min
6. Rest for 3600s
7. Discharge with 1725mA, Cut-off 10min
8. If voltage is not under 3.2V, jump to step 3. Else stop</t>
  </si>
  <si>
    <t>1. Discharge with 500mA, Cut-off 15min
2. Rest for 3600s
3. Discharge with 1500mA, Cut-off 20min
4. Rest for 3600s
5. Discharge with 3000mA, Cut-off 10min
6. If voltage is not under 3.2V, jump to step 1. Else stop</t>
  </si>
  <si>
    <t>1. Discharge with 5175mA, Cut-off 15min
2. Rest for 3600s
3. Discharge with 3450mA, Cut-off 20min
4. Rest for 3600s
5. Discharge with 1725mA, Cut-off 10min
6. If voltage is not under 3.2V, jump to step 1. Else stop</t>
  </si>
  <si>
    <t>Start Time</t>
  </si>
  <si>
    <t>End Time</t>
  </si>
  <si>
    <t>Start CC</t>
  </si>
  <si>
    <t>End CC</t>
  </si>
  <si>
    <t>Event</t>
  </si>
  <si>
    <t>Requester</t>
  </si>
  <si>
    <t>Oppo_BLP663_500mA_CD</t>
  </si>
  <si>
    <t>Oppo_BLP663_1700mA_CD</t>
  </si>
  <si>
    <t>Oppo_BLP663_Charge</t>
  </si>
  <si>
    <t>Oppo_BLP663_3000mA_CD</t>
  </si>
  <si>
    <t>Oppo_BLP663_500mA_D</t>
  </si>
  <si>
    <t>Oppo_BLP663_1700mA_D</t>
  </si>
  <si>
    <t>Oppo_BLP663_3000mA_D</t>
  </si>
  <si>
    <t>Oppo_BLP663_3500mA_D</t>
  </si>
  <si>
    <t>Oppo_BLP663_3500mA_CD</t>
  </si>
  <si>
    <t>Oppo_BLP663_D01_CD</t>
  </si>
  <si>
    <t>Oppo_BLP663_D02_CD</t>
  </si>
  <si>
    <t>Oppo_BLP663_D01_D</t>
  </si>
  <si>
    <t>Oppo_BLP663_D02_D</t>
  </si>
  <si>
    <t>Oppo_BLP663_2000mA_CD</t>
  </si>
  <si>
    <t>1. CC To CV, 4.4V, 0.69A. Cut-off 0.069A
2. Rest for 3600s
3. Discharge with 2000mA, Cut-off 3.2V</t>
  </si>
  <si>
    <t>Oppo_BLP663_2000mA_D</t>
  </si>
  <si>
    <t>1. Discharge with 2000mA, Cut-off 3.2V</t>
  </si>
  <si>
    <t>Oppo BLP663 Static Test</t>
  </si>
  <si>
    <t>Francis</t>
  </si>
  <si>
    <t>Oppo BLP663 Dynamic Test</t>
  </si>
  <si>
    <t>Completed</t>
  </si>
  <si>
    <t>Waiting</t>
  </si>
  <si>
    <t>Oppo BLP663 RC</t>
  </si>
  <si>
    <t>Current N</t>
  </si>
  <si>
    <t>Oppo BLP663 Static Test-2</t>
  </si>
  <si>
    <t>Request Date</t>
  </si>
  <si>
    <t>Temp N</t>
  </si>
  <si>
    <t>Complete Date</t>
  </si>
  <si>
    <t>Duration</t>
  </si>
  <si>
    <t>For Test Plan 1, 2, 3, 4</t>
  </si>
  <si>
    <t>Oppo BLP663 Dynamic Test-2</t>
  </si>
  <si>
    <t>Abandoned</t>
  </si>
  <si>
    <t>Oppo_BLP663_D03_CD</t>
  </si>
  <si>
    <t>1. CC To CV, 4.4V, 0.69A. Cut-off 0.069A
2. Rest for 3600s
3. Discharge with 200mA, Cut-off 15min
4. Rest for 3600s
5. Discharge with 100mA, Cut-off 20min
6. Rest for 3600s
7. Discharge with 2000mA, Cut-off 10min
8. If voltage is not under 3.2V, jump to step 3. Else stop</t>
  </si>
  <si>
    <t>Oppo_BLP663_D03_D</t>
  </si>
  <si>
    <t>1. Discharge with 200mA, Cut-off 15min
2. Rest for 3600s
3. Discharge with 100mA, Cut-off 20min
4. Rest for 3600s
5. Discharge with 2000mA, Cut-off 10min
6. If voltage is not under 3.2V, jump to step 1. Else stop</t>
  </si>
  <si>
    <t xml:space="preserve">Tester suddenly shut down </t>
  </si>
  <si>
    <t>Issue ID</t>
  </si>
  <si>
    <t>Module</t>
  </si>
  <si>
    <t>Records</t>
  </si>
  <si>
    <t>Tester</t>
  </si>
  <si>
    <t>Channel 3 doesn't work</t>
  </si>
  <si>
    <t>The sense wire is connected wrong</t>
  </si>
  <si>
    <t>Fixed</t>
  </si>
  <si>
    <t>Chamber</t>
  </si>
  <si>
    <t>Glitch</t>
  </si>
  <si>
    <t>Suddenly shut down</t>
  </si>
  <si>
    <t>Document</t>
  </si>
  <si>
    <t>Find a way to connect raw data file name to test records</t>
  </si>
  <si>
    <t>Find a way to deal with re-do tests, to know the reason for re-do, to monitor the re-do rate</t>
  </si>
  <si>
    <t>Add two layers</t>
  </si>
  <si>
    <t>Adjusted PID parameter, tested -10, 20, 35 and glitch is less than +- 2 degree
The test method is: 
1. Make the room temperature to 35 degree use the other chamber with its door open
2. Set to Target Chamber temp to target value
3. Stop the other chamber, and open the door and window of the room
4. Check the temperature curve
Conclusion: Reduced glitch
Bad influence: Longger temperature settle time
Further improvement: use Sealant</t>
  </si>
  <si>
    <t>Later</t>
  </si>
  <si>
    <t>Just happen once. Recovered and find no other influence.</t>
  </si>
  <si>
    <t>The file name will be Temperature + Current + Record ID</t>
  </si>
  <si>
    <t>Make the connector be more convenient to use</t>
  </si>
  <si>
    <t>Open</t>
  </si>
  <si>
    <t>Redo N</t>
  </si>
  <si>
    <t>Redo Rate</t>
  </si>
  <si>
    <t>Automation with VBA</t>
  </si>
  <si>
    <t>Sheet Name</t>
  </si>
  <si>
    <t>Issue List</t>
  </si>
  <si>
    <t>跟Cobra Center是一个意思</t>
  </si>
  <si>
    <t>Batteries</t>
  </si>
  <si>
    <t>Scheduler</t>
  </si>
  <si>
    <t>1. 给不同型号的电池一个编号</t>
  </si>
  <si>
    <t>Model</t>
  </si>
  <si>
    <t>Recipes</t>
  </si>
  <si>
    <t>Test Plans</t>
  </si>
  <si>
    <t>Test Items</t>
  </si>
  <si>
    <t>Battery Model ID</t>
  </si>
  <si>
    <t>1. 给不同的电池一个编号
2. 关联到某一个Battery Model</t>
  </si>
  <si>
    <t>Battery Models</t>
  </si>
  <si>
    <t>Scheduled Item ID</t>
  </si>
  <si>
    <t>1. 给一个大的测试计划一个编号
2. 一个测试计划可能面向一类电池，也可能面向一个电池，所以使用Target Type来区分。如果是面向model的，则其测试子项可应用于此model的任意一颗电池，如果是面向battery的，则其子项只可应用于此battery。
3. 设定测试的个数。包括电流数，温度数
4. 关联到某一个Battery Model</t>
  </si>
  <si>
    <t>View</t>
  </si>
  <si>
    <t>更新Duration</t>
  </si>
  <si>
    <t>不需要view</t>
  </si>
  <si>
    <t xml:space="preserve">
1. 根据Test Records中的End CC更新电池的cycle count</t>
  </si>
  <si>
    <t>Check the Introduction Sheet for details. In short, use some</t>
  </si>
  <si>
    <t>Redo Reason</t>
  </si>
  <si>
    <t>Tester ID</t>
  </si>
  <si>
    <t>Channel ID</t>
  </si>
  <si>
    <t>Chamber ID</t>
  </si>
  <si>
    <t>Storage Records</t>
  </si>
  <si>
    <t>1. 关联到某一个Battery
2. 进出记录</t>
  </si>
  <si>
    <t>1. 给不同的Tester一个编号</t>
  </si>
  <si>
    <t>1. 给不同的Chamber一个编号</t>
  </si>
  <si>
    <t>待定</t>
  </si>
  <si>
    <t>Find a way to get concrete raw data</t>
  </si>
  <si>
    <t>Francis wants the charge part raw data. But in some cases, for example, out of acceptable temperature range, the charge part and the discharge part are seperated. So we need to figure out a way to produce a concrete raw data.
                       Solution 1: Pause in the Rest step, and see if the log continues.
                       Solution 2: A repipe that would be carried on based on user's request.</t>
  </si>
  <si>
    <t>Chroma</t>
  </si>
  <si>
    <t>Channel Number</t>
  </si>
  <si>
    <t>Hongzhan</t>
  </si>
  <si>
    <t>PUL-80</t>
  </si>
  <si>
    <t>Temperature Range</t>
  </si>
  <si>
    <t>(-40, 150)</t>
  </si>
  <si>
    <t>将大的Test Plan切分成小的测试子项Test Item
1. 给Test Item一个编号
2. 指明此Test Item对应的电流温度，如果属于面向battery的测试，还需指明对应的battery id
3. 关联到某一个Test Plan</t>
  </si>
  <si>
    <t>1. 给不同的配方一个编号
2. 描述配方的步骤
3. 一个配方不能应用于不同型号的电池，所以要标明其适用的型号，即关联到某个Battery Model
4. Recipe Name用来关联到Tester中实际保存的Recipe</t>
  </si>
  <si>
    <t>Is Redo</t>
  </si>
  <si>
    <t>根据Scheduler中的Is Redo，更新Redo Count</t>
  </si>
  <si>
    <t>Y</t>
  </si>
  <si>
    <t>Executing</t>
  </si>
  <si>
    <t>1. Total N=  Temp N * Curr N
2. 根据Test Items中的Redo Count，更新Redo N
3. Redo Rate = Redo N/ Total N * 100%
4. 根据Scheduler中的Status，更新“完成”，“正在执行”，“等待”，“放弃”的个数
5. 更新Completed Date</t>
  </si>
  <si>
    <t>1. 指定Test Item的执行顺序
2. 添加需要Redo的Test Item到执行队列中（所以Schedule ID 和 Test Item ID是多对一的关系）
3. 用Is Redo标明添加进来的Test Item是否为Redo性质的
4. Redo Reason指明原因
5. 如果一个Scheduled Test Item处于Waiting状态，且因某些原因需要舍弃此Item，可将其Status设置为Abandoned
6. 关联到某一个Test Item
7. 指定具体使用的Recipe，Tester channel，Battery（如果归属的Test Plan的Target Type是Model，则可灵活指定Battery，如果是Targe Type是Battery，则需按Test Items中的安排，指定特定的Battery）
4. 记录执行结果，包括Status, Start Time, End Time, Start CC, End CC, Event
(一开始Status都是Waiting，此状态下可切为Abandoned.)</t>
  </si>
  <si>
    <t>Create a link button to the raw data folder in Scheduler</t>
  </si>
  <si>
    <t>Raw Data File Link</t>
  </si>
  <si>
    <t>Oppo_BLP663_1200mA_CD</t>
  </si>
  <si>
    <t>1. CC To CV, 4.4V, 0.69A. Cut-off 0.069A
2. Rest for 3600s
3. Discharge with 1200mA, Cut-off 3.2V</t>
  </si>
  <si>
    <t>1. CC To CV, 4.4V, 0.69A. Cut-off 0.069A
2. Rest for 3600s
3. Discharge with 3500mA, Cut-off 3.2V</t>
  </si>
  <si>
    <t>Oppo BLP663 Static Test-3</t>
  </si>
  <si>
    <t>Room</t>
  </si>
  <si>
    <t>D01</t>
  </si>
  <si>
    <t>D02</t>
  </si>
  <si>
    <t>D03</t>
  </si>
  <si>
    <t>Plan N</t>
  </si>
  <si>
    <t>Make this document more elegant</t>
  </si>
  <si>
    <t>\\O2\GRP-SHARES\807\Software\WH BC Lab\Raw Data\Oppo\BLP663\Static\Room\1_Room_500_CD.csv</t>
  </si>
  <si>
    <t>\\O2\GRP-SHARES\807\Software\WH BC Lab\Raw Data\Oppo\BLP663\Static\Room\2_Room_1700_CD.csv</t>
  </si>
  <si>
    <t>\\O2\grp-shares\807\Software\WH BC Lab\Raw Data\Oppo\BLP663\Static\35\3_35_1700_CD.csv</t>
  </si>
  <si>
    <t>\\O2\GRP-SHARES\807\Software\WH BC Lab\Raw Data\Oppo\BLP663\Static\Room\4_Room_3000_CD.csv</t>
  </si>
  <si>
    <t>\\O2\grp-shares\807\Software\WH BC Lab\Raw Data\Oppo\BLP663\Static\35\5_35_500_CD.csv</t>
  </si>
  <si>
    <t>\\O2\grp-shares\807\Software\WH BC Lab\Raw Data\Oppo\BLP663\Static\35\6_35_3000_CD.csv</t>
  </si>
  <si>
    <t>Assets Idle</t>
  </si>
  <si>
    <t>\\O2\grp-shares\807\Software\WH BC Lab\Raw Data\Oppo\BLP663\Static\Room\7_Room_1700_CD.csv</t>
  </si>
  <si>
    <t>\\O2\grp-shares\807\Software\WH BC Lab\Raw Data\Oppo\BLP663\Dynamic\Room\8_Room_D01_CD.csv</t>
  </si>
  <si>
    <t>\\O2\grp-shares\807\Software\WH BC Lab\Raw Data\Oppo\BLP663\Dynamic\Room\9_Room_D02_CD.csv</t>
  </si>
  <si>
    <t>\\O2\grp-shares\807\Software\WH BC Lab\Raw Data\Oppo\BLP663\Static\35\10_35_1700_CD.csv</t>
  </si>
  <si>
    <t>\\O2\grp-shares\807\Software\WH BC Lab\Raw Data\Oppo\BLP663\Static\35\11_35_1700_CD.csv</t>
  </si>
  <si>
    <t>\\O2\grp-shares\807\Software\WH BC Lab\Raw Data\Oppo\BLP663\Static\Room\12_Room_C.csv</t>
  </si>
  <si>
    <t>\\O2\grp-shares\807\Software\WH BC Lab\Raw Data\Oppo\BLP663\Static\Room\13_Room_C.csv</t>
  </si>
  <si>
    <t>\\O2\grp-shares\807\Software\WH BC Lab\Raw Data\Oppo\BLP663\Dynamic\35\14_35_D01_CD.csv</t>
  </si>
  <si>
    <t>\\O2\grp-shares\807\Software\WH BC Lab\Raw Data\Oppo\BLP663\Dynamic\35\15_35_D02_CD.csv</t>
  </si>
  <si>
    <t>\\O2\grp-shares\807\Software\WH BC Lab\Raw Data\Oppo\BLP663\Static\Room\16_Room_2000_CD.csv</t>
  </si>
  <si>
    <t>\\O2\grp-shares\807\Software\WH BC Lab\Raw Data\Oppo\BLP663\Static\35\17_35_2000_CD.csv</t>
  </si>
  <si>
    <t>\\O2\grp-shares\807\Software\WH BC Lab\Raw Data\Oppo\BLP663\Static\-5\21_-5_500_D.csv</t>
  </si>
  <si>
    <t>\\O2\grp-shares\807\Software\WH BC Lab\Raw Data\Oppo\BLP663\Static\-5\22_-5_1700_D.csv</t>
  </si>
  <si>
    <t>Failed</t>
  </si>
  <si>
    <t>Assets Fault</t>
  </si>
  <si>
    <t>\\O2\grp-shares\807\Software\WH BC Lab\Raw Data\Oppo\BLP663\Dynamic\Room\25_Room_D03_CD.csv</t>
  </si>
  <si>
    <t>\\O2\grp-shares\807\Software\WH BC Lab\Raw Data\Oppo\BLP663\Dynamic\35\26_35_D03_CD.csv</t>
  </si>
  <si>
    <t>\\O2\grp-shares\807\Software\WH BC Lab\Raw Data\Oppo\BLP663\Dynamic\-5\29_-5_D03_D.csv</t>
  </si>
  <si>
    <t>\\O2\grp-shares\807\Software\WH BC Lab\Raw Data\Oppo\BLP663\Static\-5\30_-5_2000_D.csv</t>
  </si>
  <si>
    <t>\\O2\grp-shares\807\Software\WH BC Lab\Raw Data\Oppo\BLP663\Static\-5\33_-5_500_D.csv</t>
  </si>
  <si>
    <t>\\O2\grp-shares\807\Software\WH BC Lab\Raw Data\Oppo\BLP663\Static\-5\34_-5_500_D.csv</t>
  </si>
  <si>
    <t>\\O2\grp-shares\807\Software\WH BC Lab\Raw Data\Oppo\BLP663\Static\Room\37_Room_1200_CD.csv</t>
  </si>
  <si>
    <t>Q:\807\Software\WH BC Lab\Raw Data\Oppo\BLP663\18_Room_C.csv</t>
  </si>
  <si>
    <t>Q:\807\Software\WH BC Lab\Raw Data\Oppo\BLP663\19_35_C.csv</t>
  </si>
  <si>
    <t>Q:\807\Software\WH BC Lab\Raw Data\Oppo\BLP663\20_35_C.csv</t>
  </si>
  <si>
    <t>Q:\807\Software\WH BC Lab\Raw Data\Oppo\BLP663\27_Room_C.csv</t>
  </si>
  <si>
    <t>Q:\807\Software\WH BC Lab\Raw Data\Oppo\BLP663\28_35_C.csv</t>
  </si>
  <si>
    <t>Q:\807\Software\WH BC Lab\Raw Data\Oppo\BLP663\31_Room_C.csv</t>
  </si>
  <si>
    <t>Q:\807\Software\WH BC Lab\Raw Data\Oppo\BLP663\32_Room_C.csv</t>
  </si>
  <si>
    <t>Q:\807\Software\WH BC Lab\Raw Data\Oppo\BLP663\35_Room_C.csv</t>
  </si>
  <si>
    <t>Q:\807\Software\WH BC Lab\Raw Data\Oppo\BLP663\36_Room_C.csv</t>
  </si>
  <si>
    <t>\\O2\grp-shares\807\Software\WH BC Lab\Raw Data\Oppo\BLP663\Dynamic\Room\23_Room_D03_CD.csv</t>
  </si>
  <si>
    <t>\\O2\grp-shares\807\Software\WH BC Lab\Raw Data\Oppo\BLP663\Dynamic\35\24_35_D03_CD.csv</t>
  </si>
  <si>
    <t>Francis Asked</t>
  </si>
  <si>
    <t>NA</t>
  </si>
  <si>
    <t>Purchased, arrived, equiped</t>
  </si>
  <si>
    <t>Studing, completed all features current needed.</t>
  </si>
  <si>
    <t>500 Cycle</t>
  </si>
  <si>
    <t>Composite Test</t>
  </si>
  <si>
    <t>3450_500</t>
  </si>
  <si>
    <t>500_5</t>
  </si>
  <si>
    <t>2000_5</t>
  </si>
  <si>
    <t>D03_5</t>
  </si>
  <si>
    <t>Oppo_BLP663_3450mA_CD_500</t>
  </si>
  <si>
    <t>1. CC To CV, 4.4V, 3.45A. Cut-off 0.069A
2. Rest for 3600s
3. Discharge with 1200mA, Cut-off 3.2V
Redo 1, 2, 3 for 500 times</t>
  </si>
  <si>
    <t>Oppo_BLP663_500mA_CD_5</t>
  </si>
  <si>
    <t>Oppo_BLP663_2000mA_CD_5</t>
  </si>
  <si>
    <t>Oppo_BLP663_D03_CD_5</t>
  </si>
  <si>
    <t>1. CC To CV, 4.4V, 0.69A. Cut-off 0.069A
2. Rest for 3600s
3. Discharge with 2000mA, Cut-off 3.2V
Redo 1, 2, 3 for 5 times</t>
  </si>
  <si>
    <t>1. CC To CV, 4.4V, 0.69A. Cut-off 0.069A
2. Rest for 3600s
3. Discharge with 500mA, Cut-off 3.2V
Redo 1, 2, 3 for 5 times</t>
  </si>
  <si>
    <t>1. CC To CV, 4.4V, 0.69A. Cut-off 0.069A
2. Rest for 3600s
3. Discharge with 200mA, Cut-off 15min
4. Rest for 3600s
5. Discharge with 100mA, Cut-off 20min
6. Rest for 3600s
7. Discharge with 2000mA, Cut-off 10min
8. If voltage is not under 3.2V, jump to step 3. Else stop
Redo 1~8 for 5 times</t>
  </si>
  <si>
    <t>Program ID</t>
  </si>
  <si>
    <t>Sub Program ID</t>
  </si>
  <si>
    <t>Request ID</t>
  </si>
  <si>
    <t>Curr Recipe</t>
  </si>
  <si>
    <t>Version</t>
  </si>
  <si>
    <t>Release Date</t>
  </si>
  <si>
    <t>Change List</t>
  </si>
  <si>
    <t>Original Design</t>
  </si>
  <si>
    <t>Test Plans, Test Items, Scheduler</t>
  </si>
  <si>
    <t>UI enhancement</t>
  </si>
  <si>
    <t>Stable -5</t>
  </si>
  <si>
    <t>Stable Room</t>
  </si>
  <si>
    <t>Stable 35</t>
  </si>
  <si>
    <t>Stable -10</t>
  </si>
  <si>
    <t>Stable 10</t>
  </si>
  <si>
    <t>Stable 0</t>
  </si>
  <si>
    <t>Stable 20</t>
  </si>
  <si>
    <t>Stable 30</t>
  </si>
  <si>
    <t>Stable 40</t>
  </si>
  <si>
    <t>1.Stay at -5</t>
  </si>
  <si>
    <t>1.Stay at Room</t>
  </si>
  <si>
    <t>1.Stay at 35</t>
  </si>
  <si>
    <t>1.Stay at -10</t>
  </si>
  <si>
    <t>1.Stay at 0</t>
  </si>
  <si>
    <t>1.Stay at 10</t>
  </si>
  <si>
    <t>1.Stay at 20</t>
  </si>
  <si>
    <t>1.Stay at 30</t>
  </si>
  <si>
    <t>1.Stay at 40</t>
  </si>
  <si>
    <t>Test Plans-&gt;Programs, Test Items-&gt; Sub Programs. Added Requests, so that Programs can be re-executed over times. Added Temp Recipes, so temp setting can be refered in Sub Programs with its ID</t>
  </si>
  <si>
    <t>Sub Programs</t>
  </si>
  <si>
    <t>1,2,3,4,5,6,7,8,9</t>
  </si>
  <si>
    <t>10,11,12,13,14,15</t>
  </si>
  <si>
    <t>16,17,18,19,20,21</t>
  </si>
  <si>
    <t>22,23,24</t>
  </si>
  <si>
    <t>25,26,27</t>
  </si>
  <si>
    <t>30,31,32</t>
  </si>
  <si>
    <t>1,2</t>
  </si>
  <si>
    <t>1,3</t>
  </si>
  <si>
    <t>1,4</t>
  </si>
  <si>
    <t>1,11</t>
  </si>
  <si>
    <t>1,12</t>
  </si>
  <si>
    <t>Idle</t>
  </si>
  <si>
    <t>Using</t>
  </si>
  <si>
    <t>Priority</t>
  </si>
  <si>
    <t>Chamber Recipe ID</t>
  </si>
  <si>
    <t>Tester Recipe ID</t>
  </si>
  <si>
    <t>Chamer Recipe ID</t>
  </si>
</sst>
</file>

<file path=xl/styles.xml><?xml version="1.0" encoding="utf-8"?>
<styleSheet xmlns="http://schemas.openxmlformats.org/spreadsheetml/2006/main">
  <numFmts count="1">
    <numFmt numFmtId="164" formatCode="d\ h:mm:ss"/>
  </numFmts>
  <fonts count="3">
    <font>
      <sz val="11"/>
      <color theme="1"/>
      <name val="Calibri"/>
      <family val="2"/>
      <scheme val="minor"/>
    </font>
    <font>
      <u/>
      <sz val="11"/>
      <color theme="10"/>
      <name val="Calibri"/>
      <family val="2"/>
    </font>
    <font>
      <b/>
      <sz val="13"/>
      <color rgb="FFFFFFFF"/>
      <name val="Calibri"/>
      <family val="2"/>
      <scheme val="minor"/>
    </font>
  </fonts>
  <fills count="4">
    <fill>
      <patternFill patternType="none"/>
    </fill>
    <fill>
      <patternFill patternType="gray125"/>
    </fill>
    <fill>
      <patternFill patternType="solid">
        <fgColor rgb="FF000000"/>
        <bgColor indexed="64"/>
      </patternFill>
    </fill>
    <fill>
      <patternFill patternType="solid">
        <fgColor rgb="FFD8D8D8"/>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applyNumberFormat="0" applyFill="0" applyBorder="0" applyAlignment="0" applyProtection="0">
      <alignment vertical="top"/>
      <protection locked="0"/>
    </xf>
  </cellStyleXfs>
  <cellXfs count="33">
    <xf numFmtId="0" fontId="0" fillId="0" borderId="0" xfId="0"/>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left"/>
    </xf>
    <xf numFmtId="0" fontId="0" fillId="0" borderId="0" xfId="0" applyAlignment="1">
      <alignment horizontal="left" wrapText="1"/>
    </xf>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vertical="center"/>
    </xf>
    <xf numFmtId="0" fontId="0" fillId="0" borderId="0" xfId="0" applyNumberFormat="1" applyFill="1" applyAlignment="1">
      <alignment horizontal="center"/>
    </xf>
    <xf numFmtId="0" fontId="0" fillId="3" borderId="1" xfId="0" applyFill="1" applyBorder="1" applyAlignment="1">
      <alignment horizontal="center" vertical="center"/>
    </xf>
    <xf numFmtId="0" fontId="0" fillId="3" borderId="1" xfId="0" applyFill="1" applyBorder="1" applyAlignment="1">
      <alignment horizontal="left" vertical="center" wrapText="1"/>
    </xf>
    <xf numFmtId="0" fontId="0" fillId="3" borderId="1" xfId="0" applyFill="1" applyBorder="1" applyAlignment="1">
      <alignment vertical="center"/>
    </xf>
    <xf numFmtId="0" fontId="0" fillId="3" borderId="1" xfId="0" applyFill="1" applyBorder="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0" fillId="3" borderId="1" xfId="0" applyFill="1" applyBorder="1" applyAlignment="1">
      <alignment horizontal="center"/>
    </xf>
    <xf numFmtId="0" fontId="0" fillId="3" borderId="1" xfId="0" applyFill="1" applyBorder="1" applyAlignment="1">
      <alignment horizontal="left" wrapText="1"/>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0" fillId="3" borderId="1" xfId="0" applyNumberFormat="1" applyFill="1" applyBorder="1" applyAlignment="1">
      <alignment horizontal="center"/>
    </xf>
    <xf numFmtId="14" fontId="0" fillId="3" borderId="1" xfId="0" applyNumberFormat="1" applyFill="1" applyBorder="1" applyAlignment="1">
      <alignment horizontal="center"/>
    </xf>
    <xf numFmtId="10" fontId="0" fillId="3" borderId="1" xfId="0" applyNumberFormat="1" applyFill="1" applyBorder="1" applyAlignment="1">
      <alignment horizontal="center"/>
    </xf>
    <xf numFmtId="22" fontId="0" fillId="3" borderId="1" xfId="0" applyNumberFormat="1" applyFill="1" applyBorder="1" applyAlignment="1">
      <alignment horizontal="center"/>
    </xf>
    <xf numFmtId="19" fontId="0" fillId="3" borderId="1" xfId="0" applyNumberFormat="1" applyFill="1" applyBorder="1" applyAlignment="1">
      <alignment horizontal="center"/>
    </xf>
    <xf numFmtId="0" fontId="2" fillId="2" borderId="1" xfId="0" applyNumberFormat="1" applyFont="1" applyFill="1" applyBorder="1" applyAlignment="1">
      <alignment horizontal="center"/>
    </xf>
    <xf numFmtId="0" fontId="1" fillId="3" borderId="1" xfId="1" applyFill="1" applyBorder="1" applyAlignment="1" applyProtection="1">
      <alignment horizontal="left"/>
    </xf>
    <xf numFmtId="164" fontId="0" fillId="3" borderId="1" xfId="0" applyNumberForma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vertical="center" wrapText="1"/>
    </xf>
    <xf numFmtId="0" fontId="2" fillId="2" borderId="1" xfId="0" applyFont="1" applyFill="1" applyBorder="1"/>
    <xf numFmtId="14" fontId="0" fillId="0" borderId="0" xfId="0" applyNumberFormat="1"/>
    <xf numFmtId="0" fontId="2" fillId="2" borderId="1" xfId="0" applyFont="1" applyFill="1" applyBorder="1" applyAlignment="1">
      <alignment wrapText="1"/>
    </xf>
    <xf numFmtId="0" fontId="0" fillId="0" borderId="0" xfId="0" applyAlignment="1">
      <alignment wrapText="1"/>
    </xf>
  </cellXfs>
  <cellStyles count="2">
    <cellStyle name="Hyperlink" xfId="1"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8" Type="http://schemas.openxmlformats.org/officeDocument/2006/relationships/hyperlink" Target="file:///\\O2\grp-shares\807\Software\WH%20BC%20Lab\Raw%20Data\Oppo\BLP663\Dynamic\Room\8_Room_D01_CD.csv" TargetMode="External"/><Relationship Id="rId13" Type="http://schemas.openxmlformats.org/officeDocument/2006/relationships/hyperlink" Target="file:///\\O2\grp-shares\807\Software\WH%20BC%20Lab\Raw%20Data\Oppo\BLP663\Static\Room\13_Room_C.csv" TargetMode="External"/><Relationship Id="rId18" Type="http://schemas.openxmlformats.org/officeDocument/2006/relationships/hyperlink" Target="file:///\\O2\grp-shares\807\Software\WH%20BC%20Lab\Raw%20Data\Oppo\BLP663\Static\-5\21_-5_500_D.csv" TargetMode="External"/><Relationship Id="rId26" Type="http://schemas.openxmlformats.org/officeDocument/2006/relationships/hyperlink" Target="file:///\\O2\grp-shares\807\Software\WH%20BC%20Lab\Raw%20Data\Oppo\BLP663\Static\Room\37_Room_1200_CD.csv" TargetMode="External"/><Relationship Id="rId3" Type="http://schemas.openxmlformats.org/officeDocument/2006/relationships/hyperlink" Target="file:///\\O2\grp-shares\807\Software\WH%20BC%20Lab\Raw%20Data\Oppo\BLP663\Static\35\3_35_1700_CD.csv" TargetMode="External"/><Relationship Id="rId21" Type="http://schemas.openxmlformats.org/officeDocument/2006/relationships/hyperlink" Target="file:///\\O2\grp-shares\807\Software\WH%20BC%20Lab\Raw%20Data\Oppo\BLP663\Dynamic\35\26_35_D03_CD.csv" TargetMode="External"/><Relationship Id="rId34" Type="http://schemas.openxmlformats.org/officeDocument/2006/relationships/hyperlink" Target="file:///\\O2\GRP-SHARES\807\Software\WH%20BC%20Lab\Raw%20Data\Oppo\BLP663\35_Room_C.csv" TargetMode="External"/><Relationship Id="rId7" Type="http://schemas.openxmlformats.org/officeDocument/2006/relationships/hyperlink" Target="file:///\\O2\grp-shares\807\Software\WH%20BC%20Lab\Raw%20Data\Oppo\BLP663\Static\Room\7_Room_1700_CD.csv" TargetMode="External"/><Relationship Id="rId12" Type="http://schemas.openxmlformats.org/officeDocument/2006/relationships/hyperlink" Target="file:///\\O2\grp-shares\807\Software\WH%20BC%20Lab\Raw%20Data\Oppo\BLP663\Static\Room\12_Room_C.csv" TargetMode="External"/><Relationship Id="rId17" Type="http://schemas.openxmlformats.org/officeDocument/2006/relationships/hyperlink" Target="file:///\\O2\grp-shares\807\Software\WH%20BC%20Lab\Raw%20Data\Oppo\BLP663\Static\35\17_35_2000_CD.csv" TargetMode="External"/><Relationship Id="rId25" Type="http://schemas.openxmlformats.org/officeDocument/2006/relationships/hyperlink" Target="file:///\\O2\grp-shares\807\Software\WH%20BC%20Lab\Raw%20Data\Oppo\BLP663\Static\-5\34_-5_500_D.csv" TargetMode="External"/><Relationship Id="rId33" Type="http://schemas.openxmlformats.org/officeDocument/2006/relationships/hyperlink" Target="file:///\\O2\GRP-SHARES\807\Software\WH%20BC%20Lab\Raw%20Data\Oppo\BLP663\32_Room_C.csv" TargetMode="External"/><Relationship Id="rId2" Type="http://schemas.openxmlformats.org/officeDocument/2006/relationships/hyperlink" Target="file:///\\O2\GRP-SHARES\807\Software\WH%20BC%20Lab\Raw%20Data\Oppo\BLP663\Static\Room\2_Room_1700_CD.csv" TargetMode="External"/><Relationship Id="rId16" Type="http://schemas.openxmlformats.org/officeDocument/2006/relationships/hyperlink" Target="file:///\\O2\grp-shares\807\Software\WH%20BC%20Lab\Raw%20Data\Oppo\BLP663\Static\Room\16_Room_2000_CD.csv" TargetMode="External"/><Relationship Id="rId20" Type="http://schemas.openxmlformats.org/officeDocument/2006/relationships/hyperlink" Target="file:///\\O2\grp-shares\807\Software\WH%20BC%20Lab\Raw%20Data\Oppo\BLP663\Dynamic\Room\25_Room_D03_CD.csv" TargetMode="External"/><Relationship Id="rId29" Type="http://schemas.openxmlformats.org/officeDocument/2006/relationships/hyperlink" Target="file:///\\O2\GRP-SHARES\807\Software\WH%20BC%20Lab\Raw%20Data\Oppo\BLP663\20_35_C.csv" TargetMode="External"/><Relationship Id="rId1" Type="http://schemas.openxmlformats.org/officeDocument/2006/relationships/hyperlink" Target="file:///\\O2\GRP-SHARES\807\Software\WH%20BC%20Lab\Raw%20Data\Oppo\BLP663\Static\Room\1_Room_500_CD.csv" TargetMode="External"/><Relationship Id="rId6" Type="http://schemas.openxmlformats.org/officeDocument/2006/relationships/hyperlink" Target="file:///\\O2\grp-shares\807\Software\WH%20BC%20Lab\Raw%20Data\Oppo\BLP663\Static\35\6_35_3000_CD.csv" TargetMode="External"/><Relationship Id="rId11" Type="http://schemas.openxmlformats.org/officeDocument/2006/relationships/hyperlink" Target="file:///\\O2\grp-shares\807\Software\WH%20BC%20Lab\Raw%20Data\Oppo\BLP663\Static\35\11_35_1700_CD.csv" TargetMode="External"/><Relationship Id="rId24" Type="http://schemas.openxmlformats.org/officeDocument/2006/relationships/hyperlink" Target="file:///\\O2\grp-shares\807\Software\WH%20BC%20Lab\Raw%20Data\Oppo\BLP663\Static\-5\33_-5_500_D.csv" TargetMode="External"/><Relationship Id="rId32" Type="http://schemas.openxmlformats.org/officeDocument/2006/relationships/hyperlink" Target="file:///\\O2\GRP-SHARES\807\Software\WH%20BC%20Lab\Raw%20Data\Oppo\BLP663\31_Room_C.csv" TargetMode="External"/><Relationship Id="rId37" Type="http://schemas.openxmlformats.org/officeDocument/2006/relationships/hyperlink" Target="file:///\\O2\grp-shares\807\Software\WH%20BC%20Lab\Raw%20Data\Oppo\BLP663\Dynamic\35\24_35_D03_CD.csv" TargetMode="External"/><Relationship Id="rId5" Type="http://schemas.openxmlformats.org/officeDocument/2006/relationships/hyperlink" Target="file:///\\O2\grp-shares\807\Software\WH%20BC%20Lab\Raw%20Data\Oppo\BLP663\Static\35\5_35_500_CD.csv" TargetMode="External"/><Relationship Id="rId15" Type="http://schemas.openxmlformats.org/officeDocument/2006/relationships/hyperlink" Target="file:///\\O2\grp-shares\807\Software\WH%20BC%20Lab\Raw%20Data\Oppo\BLP663\Dynamic\35\15_35_D02_CD.csv" TargetMode="External"/><Relationship Id="rId23" Type="http://schemas.openxmlformats.org/officeDocument/2006/relationships/hyperlink" Target="file:///\\O2\grp-shares\807\Software\WH%20BC%20Lab\Raw%20Data\Oppo\BLP663\Static\-5\30_-5_2000_D.csv" TargetMode="External"/><Relationship Id="rId28" Type="http://schemas.openxmlformats.org/officeDocument/2006/relationships/hyperlink" Target="file:///\\O2\GRP-SHARES\807\Software\WH%20BC%20Lab\Raw%20Data\Oppo\BLP663\19_35_C.csv" TargetMode="External"/><Relationship Id="rId36" Type="http://schemas.openxmlformats.org/officeDocument/2006/relationships/hyperlink" Target="file:///\\O2\grp-shares\807\Software\WH%20BC%20Lab\Raw%20Data\Oppo\BLP663\Dynamic\Room\23_Room_D03_CD.csv" TargetMode="External"/><Relationship Id="rId10" Type="http://schemas.openxmlformats.org/officeDocument/2006/relationships/hyperlink" Target="file:///\\O2\grp-shares\807\Software\WH%20BC%20Lab\Raw%20Data\Oppo\BLP663\Static\35\10_35_1700_CD.csv" TargetMode="External"/><Relationship Id="rId19" Type="http://schemas.openxmlformats.org/officeDocument/2006/relationships/hyperlink" Target="file:///\\O2\grp-shares\807\Software\WH%20BC%20Lab\Raw%20Data\Oppo\BLP663\Static\-5\22_-5_1700_D.csv" TargetMode="External"/><Relationship Id="rId31" Type="http://schemas.openxmlformats.org/officeDocument/2006/relationships/hyperlink" Target="file:///\\O2\GRP-SHARES\807\Software\WH%20BC%20Lab\Raw%20Data\Oppo\BLP663\28_35_C.csv" TargetMode="External"/><Relationship Id="rId4" Type="http://schemas.openxmlformats.org/officeDocument/2006/relationships/hyperlink" Target="file:///\\O2\GRP-SHARES\807\Software\WH%20BC%20Lab\Raw%20Data\Oppo\BLP663\Static\Room\4_Room_3000_CD.csv" TargetMode="External"/><Relationship Id="rId9" Type="http://schemas.openxmlformats.org/officeDocument/2006/relationships/hyperlink" Target="file:///\\O2\grp-shares\807\Software\WH%20BC%20Lab\Raw%20Data\Oppo\BLP663\Dynamic\Room\9_Room_D02_CD.csv" TargetMode="External"/><Relationship Id="rId14" Type="http://schemas.openxmlformats.org/officeDocument/2006/relationships/hyperlink" Target="file:///\\O2\grp-shares\807\Software\WH%20BC%20Lab\Raw%20Data\Oppo\BLP663\Dynamic\35\14_35_D01_CD.csv" TargetMode="External"/><Relationship Id="rId22" Type="http://schemas.openxmlformats.org/officeDocument/2006/relationships/hyperlink" Target="file:///\\O2\grp-shares\807\Software\WH%20BC%20Lab\Raw%20Data\Oppo\BLP663\Dynamic\-5\29_-5_D03_D.csv" TargetMode="External"/><Relationship Id="rId27" Type="http://schemas.openxmlformats.org/officeDocument/2006/relationships/hyperlink" Target="file:///\\O2\GRP-SHARES\807\Software\WH%20BC%20Lab\Raw%20Data\Oppo\BLP663\18_Room_C.csv" TargetMode="External"/><Relationship Id="rId30" Type="http://schemas.openxmlformats.org/officeDocument/2006/relationships/hyperlink" Target="file:///\\O2\GRP-SHARES\807\Software\WH%20BC%20Lab\Raw%20Data\Oppo\BLP663\27_Room_C.csv" TargetMode="External"/><Relationship Id="rId35" Type="http://schemas.openxmlformats.org/officeDocument/2006/relationships/hyperlink" Target="file:///\\O2\GRP-SHARES\807\Software\WH%20BC%20Lab\Raw%20Data\Oppo\BLP663\36_Room_C.csv" TargetMode="External"/></Relationships>
</file>

<file path=xl/worksheets/sheet1.xml><?xml version="1.0" encoding="utf-8"?>
<worksheet xmlns="http://schemas.openxmlformats.org/spreadsheetml/2006/main" xmlns:r="http://schemas.openxmlformats.org/officeDocument/2006/relationships">
  <sheetPr codeName="Sheet12"/>
  <dimension ref="A1:C6"/>
  <sheetViews>
    <sheetView workbookViewId="0">
      <selection activeCell="B21" sqref="B21"/>
    </sheetView>
  </sheetViews>
  <sheetFormatPr defaultRowHeight="15"/>
  <cols>
    <col min="1" max="1" width="9" bestFit="1" customWidth="1"/>
    <col min="2" max="2" width="81.42578125" style="32" customWidth="1"/>
    <col min="3" max="3" width="18.85546875" customWidth="1"/>
  </cols>
  <sheetData>
    <row r="1" spans="1:3" ht="17.25">
      <c r="A1" s="29" t="s">
        <v>234</v>
      </c>
      <c r="B1" s="31" t="s">
        <v>236</v>
      </c>
      <c r="C1" s="29" t="s">
        <v>235</v>
      </c>
    </row>
    <row r="2" spans="1:3">
      <c r="A2">
        <v>1</v>
      </c>
      <c r="B2" s="32" t="s">
        <v>237</v>
      </c>
      <c r="C2" s="30">
        <v>43537</v>
      </c>
    </row>
    <row r="3" spans="1:3">
      <c r="A3">
        <v>2</v>
      </c>
      <c r="B3" s="32" t="s">
        <v>238</v>
      </c>
      <c r="C3" s="30">
        <v>43553</v>
      </c>
    </row>
    <row r="4" spans="1:3">
      <c r="A4">
        <v>3</v>
      </c>
      <c r="B4" s="32" t="s">
        <v>114</v>
      </c>
      <c r="C4" s="30">
        <v>43554</v>
      </c>
    </row>
    <row r="5" spans="1:3">
      <c r="A5">
        <v>4</v>
      </c>
      <c r="B5" s="32" t="s">
        <v>239</v>
      </c>
      <c r="C5" s="30">
        <v>43556</v>
      </c>
    </row>
    <row r="6" spans="1:3" ht="45">
      <c r="A6">
        <v>5</v>
      </c>
      <c r="B6" s="32" t="s">
        <v>258</v>
      </c>
      <c r="C6" s="30">
        <v>43557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6"/>
  <dimension ref="A1:C11"/>
  <sheetViews>
    <sheetView workbookViewId="0">
      <selection activeCell="F8" sqref="F8"/>
    </sheetView>
  </sheetViews>
  <sheetFormatPr defaultRowHeight="15"/>
  <cols>
    <col min="1" max="1" width="19.28515625" style="5" customWidth="1"/>
    <col min="2" max="2" width="62.42578125" style="6" customWidth="1"/>
    <col min="3" max="3" width="62.42578125" style="7" customWidth="1"/>
    <col min="4" max="16384" width="9.140625" style="5"/>
  </cols>
  <sheetData>
    <row r="1" spans="1:3" ht="17.25">
      <c r="A1" s="13" t="s">
        <v>115</v>
      </c>
      <c r="B1" s="14" t="s">
        <v>121</v>
      </c>
      <c r="C1" s="14" t="s">
        <v>130</v>
      </c>
    </row>
    <row r="2" spans="1:3">
      <c r="A2" s="9" t="s">
        <v>116</v>
      </c>
      <c r="B2" s="28" t="s">
        <v>117</v>
      </c>
      <c r="C2" s="28"/>
    </row>
    <row r="3" spans="1:3">
      <c r="A3" s="9" t="s">
        <v>95</v>
      </c>
      <c r="B3" s="10" t="s">
        <v>141</v>
      </c>
      <c r="C3" s="11" t="s">
        <v>143</v>
      </c>
    </row>
    <row r="4" spans="1:3">
      <c r="A4" s="9" t="s">
        <v>99</v>
      </c>
      <c r="B4" s="10" t="s">
        <v>142</v>
      </c>
      <c r="C4" s="11" t="s">
        <v>143</v>
      </c>
    </row>
    <row r="5" spans="1:3">
      <c r="A5" s="9" t="s">
        <v>127</v>
      </c>
      <c r="B5" s="10" t="s">
        <v>120</v>
      </c>
      <c r="C5" s="11" t="s">
        <v>143</v>
      </c>
    </row>
    <row r="6" spans="1:3" ht="30">
      <c r="A6" s="9" t="s">
        <v>118</v>
      </c>
      <c r="B6" s="10" t="s">
        <v>126</v>
      </c>
      <c r="C6" s="12" t="s">
        <v>133</v>
      </c>
    </row>
    <row r="7" spans="1:3" ht="30">
      <c r="A7" s="9" t="s">
        <v>139</v>
      </c>
      <c r="B7" s="10" t="s">
        <v>140</v>
      </c>
      <c r="C7" s="12" t="s">
        <v>132</v>
      </c>
    </row>
    <row r="8" spans="1:3" ht="90">
      <c r="A8" s="9" t="s">
        <v>122</v>
      </c>
      <c r="B8" s="10" t="s">
        <v>153</v>
      </c>
      <c r="C8" s="12" t="s">
        <v>132</v>
      </c>
    </row>
    <row r="9" spans="1:3" ht="135">
      <c r="A9" s="9" t="s">
        <v>123</v>
      </c>
      <c r="B9" s="10" t="s">
        <v>129</v>
      </c>
      <c r="C9" s="12" t="s">
        <v>158</v>
      </c>
    </row>
    <row r="10" spans="1:3" ht="90">
      <c r="A10" s="9" t="s">
        <v>124</v>
      </c>
      <c r="B10" s="10" t="s">
        <v>152</v>
      </c>
      <c r="C10" s="11" t="s">
        <v>155</v>
      </c>
    </row>
    <row r="11" spans="1:3" ht="285">
      <c r="A11" s="9" t="s">
        <v>119</v>
      </c>
      <c r="B11" s="10" t="s">
        <v>159</v>
      </c>
      <c r="C11" s="12" t="s">
        <v>131</v>
      </c>
    </row>
  </sheetData>
  <mergeCells count="1">
    <mergeCell ref="B2:C2"/>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10"/>
  <dimension ref="A1:E12"/>
  <sheetViews>
    <sheetView workbookViewId="0">
      <selection activeCell="D12" sqref="D12"/>
    </sheetView>
  </sheetViews>
  <sheetFormatPr defaultRowHeight="15"/>
  <cols>
    <col min="1" max="1" width="13.42578125" style="1" customWidth="1"/>
    <col min="2" max="2" width="14.140625" style="1" customWidth="1"/>
    <col min="3" max="3" width="48.140625" style="4" customWidth="1"/>
    <col min="4" max="4" width="11.5703125" style="1" customWidth="1"/>
    <col min="5" max="5" width="85.5703125" style="4" customWidth="1"/>
    <col min="6" max="16384" width="9.140625" style="1"/>
  </cols>
  <sheetData>
    <row r="1" spans="1:5" ht="17.25">
      <c r="A1" s="17" t="s">
        <v>92</v>
      </c>
      <c r="B1" s="17" t="s">
        <v>93</v>
      </c>
      <c r="C1" s="18" t="s">
        <v>22</v>
      </c>
      <c r="D1" s="17" t="s">
        <v>18</v>
      </c>
      <c r="E1" s="18" t="s">
        <v>94</v>
      </c>
    </row>
    <row r="2" spans="1:5">
      <c r="A2" s="15">
        <v>1</v>
      </c>
      <c r="B2" s="15" t="s">
        <v>95</v>
      </c>
      <c r="C2" s="16" t="s">
        <v>96</v>
      </c>
      <c r="D2" s="15" t="s">
        <v>98</v>
      </c>
      <c r="E2" s="16" t="s">
        <v>97</v>
      </c>
    </row>
    <row r="3" spans="1:5" ht="150">
      <c r="A3" s="15">
        <v>2</v>
      </c>
      <c r="B3" s="15" t="s">
        <v>99</v>
      </c>
      <c r="C3" s="16" t="s">
        <v>100</v>
      </c>
      <c r="D3" s="15"/>
      <c r="E3" s="16" t="s">
        <v>106</v>
      </c>
    </row>
    <row r="4" spans="1:5">
      <c r="A4" s="15">
        <v>3</v>
      </c>
      <c r="B4" s="15" t="s">
        <v>95</v>
      </c>
      <c r="C4" s="16" t="s">
        <v>101</v>
      </c>
      <c r="D4" s="15" t="s">
        <v>107</v>
      </c>
      <c r="E4" s="16" t="s">
        <v>108</v>
      </c>
    </row>
    <row r="5" spans="1:5" ht="30">
      <c r="A5" s="15">
        <v>4</v>
      </c>
      <c r="B5" s="15" t="s">
        <v>102</v>
      </c>
      <c r="C5" s="16" t="s">
        <v>104</v>
      </c>
      <c r="D5" s="15" t="s">
        <v>98</v>
      </c>
      <c r="E5" s="16" t="s">
        <v>134</v>
      </c>
    </row>
    <row r="6" spans="1:5" ht="30">
      <c r="A6" s="15">
        <v>5</v>
      </c>
      <c r="B6" s="15" t="s">
        <v>102</v>
      </c>
      <c r="C6" s="16" t="s">
        <v>103</v>
      </c>
      <c r="D6" s="15" t="s">
        <v>98</v>
      </c>
      <c r="E6" s="16" t="s">
        <v>109</v>
      </c>
    </row>
    <row r="7" spans="1:5">
      <c r="A7" s="15">
        <v>6</v>
      </c>
      <c r="B7" s="15" t="s">
        <v>95</v>
      </c>
      <c r="C7" s="16" t="s">
        <v>110</v>
      </c>
      <c r="D7" s="15" t="s">
        <v>111</v>
      </c>
      <c r="E7" s="16"/>
    </row>
    <row r="8" spans="1:5">
      <c r="A8" s="15">
        <v>7</v>
      </c>
      <c r="B8" s="15" t="s">
        <v>99</v>
      </c>
      <c r="C8" s="16" t="s">
        <v>105</v>
      </c>
      <c r="D8" s="15" t="s">
        <v>98</v>
      </c>
      <c r="E8" s="16" t="s">
        <v>214</v>
      </c>
    </row>
    <row r="9" spans="1:5">
      <c r="A9" s="15">
        <v>8</v>
      </c>
      <c r="B9" s="15" t="s">
        <v>102</v>
      </c>
      <c r="C9" s="16" t="s">
        <v>114</v>
      </c>
      <c r="D9" s="15" t="s">
        <v>98</v>
      </c>
      <c r="E9" s="16" t="s">
        <v>215</v>
      </c>
    </row>
    <row r="10" spans="1:5" ht="75">
      <c r="A10" s="15">
        <v>9</v>
      </c>
      <c r="B10" s="15" t="s">
        <v>95</v>
      </c>
      <c r="C10" s="16" t="s">
        <v>144</v>
      </c>
      <c r="D10" s="15" t="s">
        <v>111</v>
      </c>
      <c r="E10" s="16" t="s">
        <v>145</v>
      </c>
    </row>
    <row r="11" spans="1:5" ht="30">
      <c r="A11" s="15">
        <v>10</v>
      </c>
      <c r="B11" s="15" t="s">
        <v>102</v>
      </c>
      <c r="C11" s="16" t="s">
        <v>160</v>
      </c>
      <c r="D11" s="15" t="s">
        <v>98</v>
      </c>
      <c r="E11" s="16"/>
    </row>
    <row r="12" spans="1:5">
      <c r="A12" s="15">
        <v>11</v>
      </c>
      <c r="B12" s="15" t="s">
        <v>102</v>
      </c>
      <c r="C12" s="16" t="s">
        <v>171</v>
      </c>
      <c r="D12" s="15" t="s">
        <v>111</v>
      </c>
      <c r="E12" s="16"/>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sheetPr codeName="Sheet8"/>
  <dimension ref="A1:E2"/>
  <sheetViews>
    <sheetView workbookViewId="0">
      <selection activeCell="E10" sqref="E10"/>
    </sheetView>
  </sheetViews>
  <sheetFormatPr defaultRowHeight="15"/>
  <cols>
    <col min="1" max="1" width="14.5703125" style="1" customWidth="1"/>
    <col min="2" max="2" width="17" style="1" customWidth="1"/>
    <col min="3" max="3" width="11.28515625" style="1" customWidth="1"/>
    <col min="4" max="4" width="22.5703125" style="1" customWidth="1"/>
  </cols>
  <sheetData>
    <row r="1" spans="1:5" ht="17.25">
      <c r="A1" s="17" t="s">
        <v>136</v>
      </c>
      <c r="B1" s="17" t="s">
        <v>0</v>
      </c>
      <c r="C1" s="17" t="s">
        <v>17</v>
      </c>
      <c r="D1" s="17" t="s">
        <v>147</v>
      </c>
      <c r="E1" s="17" t="s">
        <v>18</v>
      </c>
    </row>
    <row r="2" spans="1:5">
      <c r="A2" s="15">
        <v>1</v>
      </c>
      <c r="B2" s="15" t="s">
        <v>146</v>
      </c>
      <c r="C2" s="15">
        <v>17200</v>
      </c>
      <c r="D2" s="15">
        <v>4</v>
      </c>
      <c r="E2" s="15" t="s">
        <v>272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9"/>
  <dimension ref="A1:E2"/>
  <sheetViews>
    <sheetView workbookViewId="0">
      <selection activeCell="E6" sqref="E6"/>
    </sheetView>
  </sheetViews>
  <sheetFormatPr defaultRowHeight="15"/>
  <cols>
    <col min="1" max="1" width="17.42578125" style="1" customWidth="1"/>
    <col min="2" max="2" width="17" style="1" customWidth="1"/>
    <col min="3" max="3" width="11.28515625" style="1" customWidth="1"/>
    <col min="4" max="4" width="25.85546875" style="1" customWidth="1"/>
  </cols>
  <sheetData>
    <row r="1" spans="1:5" ht="17.25">
      <c r="A1" s="17" t="s">
        <v>138</v>
      </c>
      <c r="B1" s="17" t="s">
        <v>0</v>
      </c>
      <c r="C1" s="17" t="s">
        <v>17</v>
      </c>
      <c r="D1" s="17" t="s">
        <v>150</v>
      </c>
      <c r="E1" s="17" t="s">
        <v>18</v>
      </c>
    </row>
    <row r="2" spans="1:5">
      <c r="A2" s="15">
        <v>1</v>
      </c>
      <c r="B2" s="15" t="s">
        <v>148</v>
      </c>
      <c r="C2" s="15" t="s">
        <v>149</v>
      </c>
      <c r="D2" s="15" t="s">
        <v>151</v>
      </c>
      <c r="E2" s="15" t="s">
        <v>271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dimension ref="A1:I2"/>
  <sheetViews>
    <sheetView workbookViewId="0">
      <selection activeCell="C1" sqref="C1"/>
    </sheetView>
  </sheetViews>
  <sheetFormatPr defaultRowHeight="15"/>
  <cols>
    <col min="1" max="1" width="23.140625" style="1" customWidth="1"/>
    <col min="2" max="2" width="17" style="1" customWidth="1"/>
    <col min="3" max="3" width="11.28515625" style="1" customWidth="1"/>
    <col min="4" max="4" width="23.85546875" style="1" customWidth="1"/>
    <col min="5" max="5" width="29.140625" style="1" customWidth="1"/>
    <col min="6" max="6" width="20.42578125" style="1" customWidth="1"/>
    <col min="7" max="7" width="22.28515625" style="1" customWidth="1"/>
    <col min="8" max="8" width="21.28515625" style="1" customWidth="1"/>
    <col min="9" max="9" width="31.42578125" style="1" customWidth="1"/>
    <col min="10" max="16384" width="9.140625" style="1"/>
  </cols>
  <sheetData>
    <row r="1" spans="1:9" ht="17.25">
      <c r="A1" s="17" t="s">
        <v>125</v>
      </c>
      <c r="B1" s="17" t="s">
        <v>0</v>
      </c>
      <c r="C1" s="17" t="s">
        <v>17</v>
      </c>
      <c r="D1" s="17" t="s">
        <v>3</v>
      </c>
      <c r="E1" s="17" t="s">
        <v>5</v>
      </c>
      <c r="F1" s="17" t="s">
        <v>7</v>
      </c>
      <c r="G1" s="17" t="s">
        <v>9</v>
      </c>
      <c r="H1" s="17" t="s">
        <v>11</v>
      </c>
      <c r="I1" s="17" t="s">
        <v>13</v>
      </c>
    </row>
    <row r="2" spans="1:9">
      <c r="A2" s="15">
        <v>1</v>
      </c>
      <c r="B2" s="15" t="s">
        <v>1</v>
      </c>
      <c r="C2" s="15" t="s">
        <v>2</v>
      </c>
      <c r="D2" s="15" t="s">
        <v>4</v>
      </c>
      <c r="E2" s="15" t="s">
        <v>6</v>
      </c>
      <c r="F2" s="15" t="s">
        <v>8</v>
      </c>
      <c r="G2" s="15" t="s">
        <v>10</v>
      </c>
      <c r="H2" s="15" t="s">
        <v>12</v>
      </c>
      <c r="I2" s="15" t="s">
        <v>14</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sheetPr codeName="Sheet2"/>
  <dimension ref="A1:F5"/>
  <sheetViews>
    <sheetView tabSelected="1" workbookViewId="0">
      <selection activeCell="E17" sqref="E17"/>
    </sheetView>
  </sheetViews>
  <sheetFormatPr defaultRowHeight="15"/>
  <cols>
    <col min="1" max="1" width="15.7109375" style="1" customWidth="1"/>
    <col min="2" max="2" width="23.140625" style="1" customWidth="1"/>
    <col min="3" max="4" width="12.85546875" style="1" customWidth="1"/>
    <col min="5" max="5" width="31.140625" style="1" customWidth="1"/>
    <col min="6" max="6" width="17.140625" style="2" customWidth="1"/>
    <col min="7" max="16384" width="9.140625" style="1"/>
  </cols>
  <sheetData>
    <row r="1" spans="1:6" ht="17.25">
      <c r="A1" s="17" t="s">
        <v>15</v>
      </c>
      <c r="B1" s="17" t="s">
        <v>125</v>
      </c>
      <c r="C1" s="17" t="s">
        <v>17</v>
      </c>
      <c r="D1" s="17" t="s">
        <v>18</v>
      </c>
      <c r="E1" s="17"/>
      <c r="F1" s="17" t="s">
        <v>16</v>
      </c>
    </row>
    <row r="2" spans="1:6">
      <c r="A2" s="15">
        <v>1</v>
      </c>
      <c r="B2" s="15">
        <v>1</v>
      </c>
      <c r="C2" s="15" t="s">
        <v>23</v>
      </c>
      <c r="D2" s="15" t="s">
        <v>272</v>
      </c>
      <c r="E2" s="15"/>
      <c r="F2" s="15"/>
    </row>
    <row r="3" spans="1:6">
      <c r="A3" s="15">
        <v>2</v>
      </c>
      <c r="B3" s="15">
        <v>1</v>
      </c>
      <c r="C3" s="15" t="s">
        <v>24</v>
      </c>
      <c r="D3" s="15" t="s">
        <v>271</v>
      </c>
      <c r="E3" s="15"/>
      <c r="F3" s="15">
        <v>6.5</v>
      </c>
    </row>
    <row r="4" spans="1:6">
      <c r="A4" s="15">
        <v>3</v>
      </c>
      <c r="B4" s="15">
        <v>1</v>
      </c>
      <c r="C4" s="15" t="s">
        <v>25</v>
      </c>
      <c r="D4" s="15" t="s">
        <v>271</v>
      </c>
      <c r="E4" s="15"/>
      <c r="F4" s="15">
        <v>7.5</v>
      </c>
    </row>
    <row r="5" spans="1:6">
      <c r="A5" s="15">
        <v>4</v>
      </c>
      <c r="B5" s="15">
        <v>1</v>
      </c>
      <c r="C5" s="15" t="s">
        <v>26</v>
      </c>
      <c r="D5" s="15" t="s">
        <v>272</v>
      </c>
      <c r="E5" s="15"/>
      <c r="F5" s="15"/>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sheetPr codeName="Sheet7"/>
  <dimension ref="A1:F9"/>
  <sheetViews>
    <sheetView workbookViewId="0">
      <selection activeCell="F41" sqref="F41"/>
    </sheetView>
  </sheetViews>
  <sheetFormatPr defaultRowHeight="15"/>
  <cols>
    <col min="1" max="1" width="15.7109375" style="1" customWidth="1"/>
    <col min="2" max="2" width="11.5703125" style="1" customWidth="1"/>
    <col min="3" max="3" width="9.140625" style="1" customWidth="1"/>
    <col min="4" max="4" width="14.5703125" style="1" customWidth="1"/>
    <col min="5" max="5" width="13" style="1" customWidth="1"/>
    <col min="6" max="6" width="24" style="1" customWidth="1"/>
    <col min="7" max="16384" width="9.140625" style="1"/>
  </cols>
  <sheetData>
    <row r="1" spans="1:6" ht="17.25">
      <c r="A1" s="17" t="s">
        <v>15</v>
      </c>
      <c r="B1" s="17" t="s">
        <v>18</v>
      </c>
      <c r="C1" s="17" t="s">
        <v>19</v>
      </c>
      <c r="D1" s="17" t="s">
        <v>20</v>
      </c>
      <c r="E1" s="17" t="s">
        <v>21</v>
      </c>
      <c r="F1" s="17" t="s">
        <v>22</v>
      </c>
    </row>
    <row r="2" spans="1:6">
      <c r="A2" s="15">
        <v>1</v>
      </c>
      <c r="B2" s="15" t="s">
        <v>27</v>
      </c>
      <c r="C2" s="15" t="s">
        <v>28</v>
      </c>
      <c r="D2" s="15" t="s">
        <v>32</v>
      </c>
      <c r="E2" s="15">
        <v>20190301</v>
      </c>
      <c r="F2" s="15" t="s">
        <v>33</v>
      </c>
    </row>
    <row r="3" spans="1:6">
      <c r="A3" s="15">
        <v>2</v>
      </c>
      <c r="B3" s="15" t="s">
        <v>27</v>
      </c>
      <c r="C3" s="15" t="s">
        <v>29</v>
      </c>
      <c r="D3" s="15" t="s">
        <v>32</v>
      </c>
      <c r="E3" s="15">
        <v>20190301</v>
      </c>
      <c r="F3" s="15" t="s">
        <v>33</v>
      </c>
    </row>
    <row r="4" spans="1:6">
      <c r="A4" s="15">
        <v>3</v>
      </c>
      <c r="B4" s="15" t="s">
        <v>27</v>
      </c>
      <c r="C4" s="15" t="s">
        <v>30</v>
      </c>
      <c r="D4" s="15" t="s">
        <v>32</v>
      </c>
      <c r="E4" s="15">
        <v>20190301</v>
      </c>
      <c r="F4" s="15" t="s">
        <v>33</v>
      </c>
    </row>
    <row r="5" spans="1:6">
      <c r="A5" s="15">
        <v>4</v>
      </c>
      <c r="B5" s="15" t="s">
        <v>27</v>
      </c>
      <c r="C5" s="15" t="s">
        <v>31</v>
      </c>
      <c r="D5" s="15" t="s">
        <v>32</v>
      </c>
      <c r="E5" s="15">
        <v>20190301</v>
      </c>
      <c r="F5" s="15" t="s">
        <v>33</v>
      </c>
    </row>
    <row r="6" spans="1:6">
      <c r="A6" s="15">
        <v>1</v>
      </c>
      <c r="B6" s="15" t="s">
        <v>34</v>
      </c>
      <c r="C6" s="15" t="s">
        <v>35</v>
      </c>
      <c r="D6" s="15" t="s">
        <v>32</v>
      </c>
      <c r="E6" s="15">
        <v>20190308</v>
      </c>
      <c r="F6" s="15" t="s">
        <v>84</v>
      </c>
    </row>
    <row r="7" spans="1:6">
      <c r="A7" s="15">
        <v>2</v>
      </c>
      <c r="B7" s="15" t="s">
        <v>34</v>
      </c>
      <c r="C7" s="15" t="s">
        <v>35</v>
      </c>
      <c r="D7" s="15" t="s">
        <v>32</v>
      </c>
      <c r="E7" s="15">
        <v>20190308</v>
      </c>
      <c r="F7" s="15" t="s">
        <v>84</v>
      </c>
    </row>
    <row r="8" spans="1:6">
      <c r="A8" s="15">
        <v>3</v>
      </c>
      <c r="B8" s="15" t="s">
        <v>34</v>
      </c>
      <c r="C8" s="15" t="s">
        <v>35</v>
      </c>
      <c r="D8" s="15" t="s">
        <v>32</v>
      </c>
      <c r="E8" s="15">
        <v>20190308</v>
      </c>
      <c r="F8" s="15" t="s">
        <v>84</v>
      </c>
    </row>
    <row r="9" spans="1:6">
      <c r="A9" s="15">
        <v>4</v>
      </c>
      <c r="B9" s="15" t="s">
        <v>34</v>
      </c>
      <c r="C9" s="15" t="s">
        <v>35</v>
      </c>
      <c r="D9" s="15" t="s">
        <v>32</v>
      </c>
      <c r="E9" s="15">
        <v>20190308</v>
      </c>
      <c r="F9" s="15" t="s">
        <v>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4"/>
  <dimension ref="A1:D9"/>
  <sheetViews>
    <sheetView workbookViewId="0">
      <selection activeCell="C2" sqref="C2"/>
    </sheetView>
  </sheetViews>
  <sheetFormatPr defaultRowHeight="15"/>
  <cols>
    <col min="1" max="1" width="16.7109375" style="8" customWidth="1"/>
    <col min="2" max="3" width="23.140625" style="8" customWidth="1"/>
    <col min="4" max="4" width="30.85546875" style="8" customWidth="1"/>
    <col min="5" max="16384" width="9.140625" style="8"/>
  </cols>
  <sheetData>
    <row r="1" spans="1:4" ht="17.25">
      <c r="A1" s="24" t="s">
        <v>230</v>
      </c>
      <c r="B1" s="24" t="s">
        <v>125</v>
      </c>
      <c r="C1" s="24" t="s">
        <v>259</v>
      </c>
      <c r="D1" s="24" t="s">
        <v>17</v>
      </c>
    </row>
    <row r="2" spans="1:4">
      <c r="A2" s="19">
        <v>1</v>
      </c>
      <c r="B2" s="19">
        <v>1</v>
      </c>
      <c r="C2" s="19" t="s">
        <v>260</v>
      </c>
      <c r="D2" s="19" t="s">
        <v>72</v>
      </c>
    </row>
    <row r="3" spans="1:4">
      <c r="A3" s="19">
        <v>2</v>
      </c>
      <c r="B3" s="19">
        <v>1</v>
      </c>
      <c r="C3" s="19" t="s">
        <v>261</v>
      </c>
      <c r="D3" s="19" t="s">
        <v>74</v>
      </c>
    </row>
    <row r="4" spans="1:4">
      <c r="A4" s="19">
        <v>3</v>
      </c>
      <c r="B4" s="19">
        <v>1</v>
      </c>
      <c r="C4" s="19" t="s">
        <v>262</v>
      </c>
      <c r="D4" s="19" t="s">
        <v>77</v>
      </c>
    </row>
    <row r="5" spans="1:4">
      <c r="A5" s="19">
        <v>4</v>
      </c>
      <c r="B5" s="19">
        <v>1</v>
      </c>
      <c r="C5" s="19" t="s">
        <v>263</v>
      </c>
      <c r="D5" s="19" t="s">
        <v>79</v>
      </c>
    </row>
    <row r="6" spans="1:4">
      <c r="A6" s="19">
        <v>5</v>
      </c>
      <c r="B6" s="19">
        <v>1</v>
      </c>
      <c r="C6" s="19" t="s">
        <v>264</v>
      </c>
      <c r="D6" s="19" t="s">
        <v>85</v>
      </c>
    </row>
    <row r="7" spans="1:4">
      <c r="A7" s="19">
        <v>6</v>
      </c>
      <c r="B7" s="19">
        <v>1</v>
      </c>
      <c r="C7" s="19">
        <v>28</v>
      </c>
      <c r="D7" s="19" t="s">
        <v>165</v>
      </c>
    </row>
    <row r="8" spans="1:4">
      <c r="A8" s="19">
        <v>7</v>
      </c>
      <c r="B8" s="19">
        <v>1</v>
      </c>
      <c r="C8" s="19">
        <v>29</v>
      </c>
      <c r="D8" s="19" t="s">
        <v>216</v>
      </c>
    </row>
    <row r="9" spans="1:4">
      <c r="A9" s="19">
        <v>8</v>
      </c>
      <c r="B9" s="19">
        <v>1</v>
      </c>
      <c r="C9" s="19" t="s">
        <v>265</v>
      </c>
      <c r="D9" s="19" t="s">
        <v>217</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sheetPr codeName="Sheet11"/>
  <dimension ref="A1:C33"/>
  <sheetViews>
    <sheetView workbookViewId="0">
      <selection activeCell="B2" sqref="B2"/>
    </sheetView>
  </sheetViews>
  <sheetFormatPr defaultRowHeight="15"/>
  <cols>
    <col min="1" max="1" width="21.140625" style="2" customWidth="1"/>
    <col min="2" max="2" width="16.140625" style="2" customWidth="1"/>
    <col min="3" max="3" width="17" style="2" customWidth="1"/>
    <col min="4" max="16384" width="9.140625" style="2"/>
  </cols>
  <sheetData>
    <row r="1" spans="1:3" ht="17.25">
      <c r="A1" s="17" t="s">
        <v>231</v>
      </c>
      <c r="B1" s="17" t="s">
        <v>122</v>
      </c>
      <c r="C1" s="17" t="s">
        <v>233</v>
      </c>
    </row>
    <row r="2" spans="1:3">
      <c r="A2" s="15">
        <v>1</v>
      </c>
      <c r="B2" s="15" t="s">
        <v>266</v>
      </c>
      <c r="C2" s="15"/>
    </row>
    <row r="3" spans="1:3">
      <c r="A3" s="15">
        <v>2</v>
      </c>
      <c r="B3" s="15" t="s">
        <v>267</v>
      </c>
      <c r="C3" s="15"/>
    </row>
    <row r="4" spans="1:3">
      <c r="A4" s="15">
        <v>3</v>
      </c>
      <c r="B4" s="15" t="s">
        <v>268</v>
      </c>
      <c r="C4" s="15"/>
    </row>
    <row r="5" spans="1:3">
      <c r="A5" s="15">
        <v>4</v>
      </c>
      <c r="B5" s="15">
        <v>5</v>
      </c>
      <c r="C5" s="15"/>
    </row>
    <row r="6" spans="1:3">
      <c r="A6" s="15">
        <v>5</v>
      </c>
      <c r="B6" s="15">
        <v>6</v>
      </c>
      <c r="C6" s="15"/>
    </row>
    <row r="7" spans="1:3">
      <c r="A7" s="15">
        <v>6</v>
      </c>
      <c r="B7" s="15">
        <v>7</v>
      </c>
      <c r="C7" s="15"/>
    </row>
    <row r="8" spans="1:3">
      <c r="A8" s="15">
        <v>7</v>
      </c>
      <c r="B8" s="15">
        <v>8</v>
      </c>
      <c r="C8" s="15"/>
    </row>
    <row r="9" spans="1:3">
      <c r="A9" s="15">
        <v>8</v>
      </c>
      <c r="B9" s="15">
        <v>9</v>
      </c>
      <c r="C9" s="15"/>
    </row>
    <row r="10" spans="1:3">
      <c r="A10" s="15">
        <v>9</v>
      </c>
      <c r="B10" s="15">
        <v>10</v>
      </c>
      <c r="C10" s="15"/>
    </row>
    <row r="11" spans="1:3">
      <c r="A11" s="15">
        <v>10</v>
      </c>
      <c r="B11" s="15" t="s">
        <v>269</v>
      </c>
      <c r="C11" s="15"/>
    </row>
    <row r="12" spans="1:3">
      <c r="A12" s="15">
        <v>11</v>
      </c>
      <c r="B12" s="15" t="s">
        <v>270</v>
      </c>
      <c r="C12" s="15"/>
    </row>
    <row r="13" spans="1:3">
      <c r="A13" s="15">
        <v>12</v>
      </c>
      <c r="B13" s="15">
        <v>2</v>
      </c>
      <c r="C13" s="15" t="s">
        <v>167</v>
      </c>
    </row>
    <row r="14" spans="1:3">
      <c r="A14" s="15">
        <v>13</v>
      </c>
      <c r="B14" s="15">
        <v>2</v>
      </c>
      <c r="C14" s="15" t="s">
        <v>168</v>
      </c>
    </row>
    <row r="15" spans="1:3">
      <c r="A15" s="15">
        <v>14</v>
      </c>
      <c r="B15" s="15">
        <v>35</v>
      </c>
      <c r="C15" s="15" t="s">
        <v>167</v>
      </c>
    </row>
    <row r="16" spans="1:3">
      <c r="A16" s="15">
        <v>15</v>
      </c>
      <c r="B16" s="15">
        <v>35</v>
      </c>
      <c r="C16" s="15" t="s">
        <v>168</v>
      </c>
    </row>
    <row r="17" spans="1:3">
      <c r="A17" s="15">
        <v>16</v>
      </c>
      <c r="B17" s="15">
        <v>-10</v>
      </c>
      <c r="C17" s="15">
        <v>3500</v>
      </c>
    </row>
    <row r="18" spans="1:3">
      <c r="A18" s="15">
        <v>17</v>
      </c>
      <c r="B18" s="15">
        <v>0</v>
      </c>
      <c r="C18" s="15">
        <v>3500</v>
      </c>
    </row>
    <row r="19" spans="1:3">
      <c r="A19" s="15">
        <v>18</v>
      </c>
      <c r="B19" s="15">
        <v>10</v>
      </c>
      <c r="C19" s="15">
        <v>3500</v>
      </c>
    </row>
    <row r="20" spans="1:3">
      <c r="A20" s="15">
        <v>19</v>
      </c>
      <c r="B20" s="15">
        <v>20</v>
      </c>
      <c r="C20" s="15">
        <v>3500</v>
      </c>
    </row>
    <row r="21" spans="1:3">
      <c r="A21" s="15">
        <v>20</v>
      </c>
      <c r="B21" s="15">
        <v>30</v>
      </c>
      <c r="C21" s="15">
        <v>3500</v>
      </c>
    </row>
    <row r="22" spans="1:3">
      <c r="A22" s="15">
        <v>21</v>
      </c>
      <c r="B22" s="15">
        <v>40</v>
      </c>
      <c r="C22" s="15">
        <v>3500</v>
      </c>
    </row>
    <row r="23" spans="1:3">
      <c r="A23" s="15">
        <v>22</v>
      </c>
      <c r="B23" s="15">
        <v>-5</v>
      </c>
      <c r="C23" s="15">
        <v>2000</v>
      </c>
    </row>
    <row r="24" spans="1:3">
      <c r="A24" s="15">
        <v>23</v>
      </c>
      <c r="B24" s="15" t="s">
        <v>166</v>
      </c>
      <c r="C24" s="15">
        <v>2000</v>
      </c>
    </row>
    <row r="25" spans="1:3">
      <c r="A25" s="15">
        <v>24</v>
      </c>
      <c r="B25" s="15">
        <v>35</v>
      </c>
      <c r="C25" s="15">
        <v>2000</v>
      </c>
    </row>
    <row r="26" spans="1:3">
      <c r="A26" s="15">
        <v>25</v>
      </c>
      <c r="B26" s="15">
        <v>-5</v>
      </c>
      <c r="C26" s="15" t="s">
        <v>169</v>
      </c>
    </row>
    <row r="27" spans="1:3">
      <c r="A27" s="15">
        <v>26</v>
      </c>
      <c r="B27" s="15" t="s">
        <v>166</v>
      </c>
      <c r="C27" s="15" t="s">
        <v>169</v>
      </c>
    </row>
    <row r="28" spans="1:3">
      <c r="A28" s="15">
        <v>27</v>
      </c>
      <c r="B28" s="15">
        <v>35</v>
      </c>
      <c r="C28" s="15" t="s">
        <v>169</v>
      </c>
    </row>
    <row r="29" spans="1:3">
      <c r="A29" s="15">
        <v>28</v>
      </c>
      <c r="B29" s="15" t="s">
        <v>166</v>
      </c>
      <c r="C29" s="15">
        <v>1200</v>
      </c>
    </row>
    <row r="30" spans="1:3">
      <c r="A30" s="15">
        <v>29</v>
      </c>
      <c r="B30" s="15" t="s">
        <v>166</v>
      </c>
      <c r="C30" s="15" t="s">
        <v>218</v>
      </c>
    </row>
    <row r="31" spans="1:3">
      <c r="A31" s="15">
        <v>30</v>
      </c>
      <c r="B31" s="15" t="s">
        <v>166</v>
      </c>
      <c r="C31" s="15" t="s">
        <v>219</v>
      </c>
    </row>
    <row r="32" spans="1:3">
      <c r="A32" s="15">
        <v>31</v>
      </c>
      <c r="B32" s="15" t="s">
        <v>166</v>
      </c>
      <c r="C32" s="15" t="s">
        <v>220</v>
      </c>
    </row>
    <row r="33" spans="1:3">
      <c r="A33" s="15">
        <v>32</v>
      </c>
      <c r="B33" s="15" t="s">
        <v>166</v>
      </c>
      <c r="C33" s="15" t="s">
        <v>221</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dimension ref="A1:C14"/>
  <sheetViews>
    <sheetView workbookViewId="0">
      <selection activeCell="C17" sqref="C17"/>
    </sheetView>
  </sheetViews>
  <sheetFormatPr defaultRowHeight="15"/>
  <cols>
    <col min="1" max="1" width="11" style="2" bestFit="1" customWidth="1"/>
    <col min="2" max="2" width="21" style="2" bestFit="1" customWidth="1"/>
    <col min="3" max="3" width="18.28515625" style="3" bestFit="1" customWidth="1"/>
    <col min="4" max="16384" width="9.140625" style="2"/>
  </cols>
  <sheetData>
    <row r="1" spans="1:3" ht="17.25">
      <c r="A1" s="17" t="s">
        <v>36</v>
      </c>
      <c r="B1" s="17" t="s">
        <v>274</v>
      </c>
      <c r="C1" s="17" t="s">
        <v>275</v>
      </c>
    </row>
    <row r="2" spans="1:3">
      <c r="A2" s="15">
        <v>1</v>
      </c>
      <c r="B2" s="15">
        <v>2</v>
      </c>
      <c r="C2" s="16">
        <v>1</v>
      </c>
    </row>
    <row r="3" spans="1:3">
      <c r="A3" s="15">
        <v>2</v>
      </c>
      <c r="B3" s="15">
        <v>1</v>
      </c>
      <c r="C3" s="16">
        <v>5</v>
      </c>
    </row>
    <row r="4" spans="1:3">
      <c r="A4" s="15">
        <v>3</v>
      </c>
      <c r="B4" s="15">
        <v>1</v>
      </c>
      <c r="C4" s="16">
        <v>6</v>
      </c>
    </row>
    <row r="5" spans="1:3">
      <c r="A5" s="15">
        <v>4</v>
      </c>
      <c r="B5" s="15">
        <v>1</v>
      </c>
      <c r="C5" s="16">
        <v>7</v>
      </c>
    </row>
    <row r="6" spans="1:3">
      <c r="A6" s="15">
        <v>5</v>
      </c>
      <c r="B6" s="15">
        <v>2</v>
      </c>
      <c r="C6" s="16">
        <v>2</v>
      </c>
    </row>
    <row r="7" spans="1:3">
      <c r="A7" s="15">
        <v>6</v>
      </c>
      <c r="B7" s="15">
        <v>2</v>
      </c>
      <c r="C7" s="16">
        <v>3</v>
      </c>
    </row>
    <row r="8" spans="1:3">
      <c r="A8" s="15">
        <v>7</v>
      </c>
      <c r="B8" s="15">
        <v>2</v>
      </c>
      <c r="C8" s="16">
        <v>4</v>
      </c>
    </row>
    <row r="9" spans="1:3">
      <c r="A9" s="15">
        <v>8</v>
      </c>
      <c r="B9" s="15">
        <v>3</v>
      </c>
      <c r="C9" s="16">
        <v>2</v>
      </c>
    </row>
    <row r="10" spans="1:3">
      <c r="A10" s="15">
        <v>9</v>
      </c>
      <c r="B10" s="15">
        <v>3</v>
      </c>
      <c r="C10" s="16">
        <v>3</v>
      </c>
    </row>
    <row r="11" spans="1:3">
      <c r="A11" s="15">
        <v>10</v>
      </c>
      <c r="B11" s="2">
        <v>3</v>
      </c>
      <c r="C11" s="3">
        <v>4</v>
      </c>
    </row>
    <row r="12" spans="1:3">
      <c r="A12" s="15">
        <v>11</v>
      </c>
      <c r="B12" s="2">
        <v>1</v>
      </c>
      <c r="C12" s="3">
        <v>10</v>
      </c>
    </row>
    <row r="13" spans="1:3">
      <c r="A13" s="15">
        <v>12</v>
      </c>
      <c r="B13" s="2">
        <v>1</v>
      </c>
      <c r="C13" s="3">
        <v>11</v>
      </c>
    </row>
    <row r="14" spans="1:3">
      <c r="A14" s="15">
        <v>13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D10"/>
  <sheetViews>
    <sheetView workbookViewId="0">
      <selection activeCell="H12" sqref="H12"/>
    </sheetView>
  </sheetViews>
  <sheetFormatPr defaultRowHeight="15"/>
  <cols>
    <col min="1" max="1" width="19.7109375" style="2" bestFit="1" customWidth="1"/>
    <col min="2" max="2" width="17.5703125" style="2" customWidth="1"/>
    <col min="3" max="3" width="12.140625" style="2" bestFit="1" customWidth="1"/>
    <col min="4" max="4" width="14.140625" style="3" bestFit="1" customWidth="1"/>
    <col min="5" max="16384" width="9.140625" style="2"/>
  </cols>
  <sheetData>
    <row r="1" spans="1:4" ht="17.25">
      <c r="A1" s="17" t="s">
        <v>276</v>
      </c>
      <c r="B1" s="17" t="s">
        <v>138</v>
      </c>
      <c r="C1" s="17" t="s">
        <v>17</v>
      </c>
      <c r="D1" s="17" t="s">
        <v>37</v>
      </c>
    </row>
    <row r="2" spans="1:4">
      <c r="A2" s="15">
        <v>1</v>
      </c>
      <c r="B2" s="15">
        <v>1</v>
      </c>
      <c r="C2" s="15" t="s">
        <v>240</v>
      </c>
      <c r="D2" s="16" t="s">
        <v>249</v>
      </c>
    </row>
    <row r="3" spans="1:4">
      <c r="A3" s="15">
        <v>2</v>
      </c>
      <c r="B3" s="15">
        <v>1</v>
      </c>
      <c r="C3" s="15" t="s">
        <v>241</v>
      </c>
      <c r="D3" s="16" t="s">
        <v>250</v>
      </c>
    </row>
    <row r="4" spans="1:4">
      <c r="A4" s="15">
        <v>3</v>
      </c>
      <c r="B4" s="15">
        <v>1</v>
      </c>
      <c r="C4" s="15" t="s">
        <v>242</v>
      </c>
      <c r="D4" s="16" t="s">
        <v>251</v>
      </c>
    </row>
    <row r="5" spans="1:4">
      <c r="A5" s="15">
        <v>4</v>
      </c>
      <c r="B5" s="15">
        <v>1</v>
      </c>
      <c r="C5" s="15" t="s">
        <v>243</v>
      </c>
      <c r="D5" s="16" t="s">
        <v>252</v>
      </c>
    </row>
    <row r="6" spans="1:4">
      <c r="A6" s="15">
        <v>5</v>
      </c>
      <c r="B6" s="15">
        <v>1</v>
      </c>
      <c r="C6" s="15" t="s">
        <v>245</v>
      </c>
      <c r="D6" s="16" t="s">
        <v>253</v>
      </c>
    </row>
    <row r="7" spans="1:4">
      <c r="A7" s="15">
        <v>6</v>
      </c>
      <c r="B7" s="15">
        <v>1</v>
      </c>
      <c r="C7" s="15" t="s">
        <v>244</v>
      </c>
      <c r="D7" s="16" t="s">
        <v>254</v>
      </c>
    </row>
    <row r="8" spans="1:4">
      <c r="A8" s="15">
        <v>7</v>
      </c>
      <c r="B8" s="15">
        <v>1</v>
      </c>
      <c r="C8" s="15" t="s">
        <v>246</v>
      </c>
      <c r="D8" s="16" t="s">
        <v>255</v>
      </c>
    </row>
    <row r="9" spans="1:4">
      <c r="A9" s="15">
        <v>8</v>
      </c>
      <c r="B9" s="15">
        <v>1</v>
      </c>
      <c r="C9" s="15" t="s">
        <v>247</v>
      </c>
      <c r="D9" s="16" t="s">
        <v>256</v>
      </c>
    </row>
    <row r="10" spans="1:4">
      <c r="A10" s="15">
        <v>9</v>
      </c>
      <c r="B10" s="15">
        <v>1</v>
      </c>
      <c r="C10" s="15" t="s">
        <v>248</v>
      </c>
      <c r="D10" s="16" t="s">
        <v>257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3"/>
  <dimension ref="A1:E23"/>
  <sheetViews>
    <sheetView workbookViewId="0">
      <selection activeCell="G7" sqref="G7"/>
    </sheetView>
  </sheetViews>
  <sheetFormatPr defaultRowHeight="15"/>
  <cols>
    <col min="1" max="2" width="20" style="2" customWidth="1"/>
    <col min="3" max="3" width="29" style="2" bestFit="1" customWidth="1"/>
    <col min="4" max="4" width="19.140625" style="2" bestFit="1" customWidth="1"/>
    <col min="5" max="5" width="45.85546875" style="3" bestFit="1" customWidth="1"/>
    <col min="6" max="16384" width="9.140625" style="2"/>
  </cols>
  <sheetData>
    <row r="1" spans="1:5" ht="17.25">
      <c r="A1" s="17" t="s">
        <v>275</v>
      </c>
      <c r="B1" s="17" t="s">
        <v>136</v>
      </c>
      <c r="C1" s="17" t="s">
        <v>17</v>
      </c>
      <c r="D1" s="17" t="s">
        <v>125</v>
      </c>
      <c r="E1" s="17" t="s">
        <v>37</v>
      </c>
    </row>
    <row r="2" spans="1:5" ht="30">
      <c r="A2" s="15">
        <v>1</v>
      </c>
      <c r="B2" s="15">
        <v>1</v>
      </c>
      <c r="C2" s="15" t="s">
        <v>57</v>
      </c>
      <c r="D2" s="15">
        <v>1</v>
      </c>
      <c r="E2" s="16" t="s">
        <v>39</v>
      </c>
    </row>
    <row r="3" spans="1:5" ht="45">
      <c r="A3" s="15">
        <v>2</v>
      </c>
      <c r="B3" s="15">
        <v>1</v>
      </c>
      <c r="C3" s="15" t="s">
        <v>55</v>
      </c>
      <c r="D3" s="15">
        <v>1</v>
      </c>
      <c r="E3" s="16" t="s">
        <v>38</v>
      </c>
    </row>
    <row r="4" spans="1:5" ht="45">
      <c r="A4" s="15">
        <v>3</v>
      </c>
      <c r="B4" s="15">
        <v>1</v>
      </c>
      <c r="C4" s="15" t="s">
        <v>56</v>
      </c>
      <c r="D4" s="15">
        <v>1</v>
      </c>
      <c r="E4" s="16" t="s">
        <v>40</v>
      </c>
    </row>
    <row r="5" spans="1:5" ht="45">
      <c r="A5" s="15">
        <v>4</v>
      </c>
      <c r="B5" s="15">
        <v>1</v>
      </c>
      <c r="C5" s="15" t="s">
        <v>58</v>
      </c>
      <c r="D5" s="15">
        <v>1</v>
      </c>
      <c r="E5" s="16" t="s">
        <v>41</v>
      </c>
    </row>
    <row r="6" spans="1:5">
      <c r="A6" s="15">
        <v>5</v>
      </c>
      <c r="B6" s="15">
        <v>1</v>
      </c>
      <c r="C6" s="15" t="s">
        <v>59</v>
      </c>
      <c r="D6" s="15">
        <v>1</v>
      </c>
      <c r="E6" s="16" t="s">
        <v>42</v>
      </c>
    </row>
    <row r="7" spans="1:5">
      <c r="A7" s="15">
        <v>6</v>
      </c>
      <c r="B7" s="15">
        <v>1</v>
      </c>
      <c r="C7" s="15" t="s">
        <v>60</v>
      </c>
      <c r="D7" s="15">
        <v>1</v>
      </c>
      <c r="E7" s="16" t="s">
        <v>42</v>
      </c>
    </row>
    <row r="8" spans="1:5">
      <c r="A8" s="15">
        <v>7</v>
      </c>
      <c r="B8" s="15">
        <v>1</v>
      </c>
      <c r="C8" s="15" t="s">
        <v>61</v>
      </c>
      <c r="D8" s="15">
        <v>1</v>
      </c>
      <c r="E8" s="16" t="s">
        <v>43</v>
      </c>
    </row>
    <row r="9" spans="1:5">
      <c r="A9" s="15">
        <v>8</v>
      </c>
      <c r="B9" s="15">
        <v>1</v>
      </c>
      <c r="C9" s="15" t="s">
        <v>62</v>
      </c>
      <c r="D9" s="15">
        <v>1</v>
      </c>
      <c r="E9" s="16" t="s">
        <v>44</v>
      </c>
    </row>
    <row r="10" spans="1:5" ht="45">
      <c r="A10" s="15">
        <v>9</v>
      </c>
      <c r="B10" s="15">
        <v>1</v>
      </c>
      <c r="C10" s="15" t="s">
        <v>63</v>
      </c>
      <c r="D10" s="15">
        <v>1</v>
      </c>
      <c r="E10" s="16" t="s">
        <v>164</v>
      </c>
    </row>
    <row r="11" spans="1:5" ht="135">
      <c r="A11" s="15">
        <v>10</v>
      </c>
      <c r="B11" s="15">
        <v>1</v>
      </c>
      <c r="C11" s="15" t="s">
        <v>64</v>
      </c>
      <c r="D11" s="15">
        <v>1</v>
      </c>
      <c r="E11" s="16" t="s">
        <v>45</v>
      </c>
    </row>
    <row r="12" spans="1:5" ht="135">
      <c r="A12" s="15">
        <v>11</v>
      </c>
      <c r="B12" s="15">
        <v>1</v>
      </c>
      <c r="C12" s="15" t="s">
        <v>65</v>
      </c>
      <c r="D12" s="15">
        <v>1</v>
      </c>
      <c r="E12" s="16" t="s">
        <v>46</v>
      </c>
    </row>
    <row r="13" spans="1:5" ht="105">
      <c r="A13" s="15">
        <v>12</v>
      </c>
      <c r="B13" s="15">
        <v>1</v>
      </c>
      <c r="C13" s="15" t="s">
        <v>66</v>
      </c>
      <c r="D13" s="15">
        <v>1</v>
      </c>
      <c r="E13" s="16" t="s">
        <v>47</v>
      </c>
    </row>
    <row r="14" spans="1:5" ht="105">
      <c r="A14" s="15">
        <v>13</v>
      </c>
      <c r="B14" s="15">
        <v>1</v>
      </c>
      <c r="C14" s="15" t="s">
        <v>67</v>
      </c>
      <c r="D14" s="15">
        <v>1</v>
      </c>
      <c r="E14" s="16" t="s">
        <v>48</v>
      </c>
    </row>
    <row r="15" spans="1:5" ht="45">
      <c r="A15" s="15">
        <v>14</v>
      </c>
      <c r="B15" s="15">
        <v>1</v>
      </c>
      <c r="C15" s="15" t="s">
        <v>68</v>
      </c>
      <c r="D15" s="15">
        <v>1</v>
      </c>
      <c r="E15" s="16" t="s">
        <v>69</v>
      </c>
    </row>
    <row r="16" spans="1:5">
      <c r="A16" s="15">
        <v>15</v>
      </c>
      <c r="B16" s="15">
        <v>1</v>
      </c>
      <c r="C16" s="15" t="s">
        <v>70</v>
      </c>
      <c r="D16" s="15">
        <v>1</v>
      </c>
      <c r="E16" s="16" t="s">
        <v>71</v>
      </c>
    </row>
    <row r="17" spans="1:5" ht="135">
      <c r="A17" s="15">
        <v>16</v>
      </c>
      <c r="B17" s="15">
        <v>1</v>
      </c>
      <c r="C17" s="15" t="s">
        <v>87</v>
      </c>
      <c r="D17" s="15">
        <v>1</v>
      </c>
      <c r="E17" s="16" t="s">
        <v>88</v>
      </c>
    </row>
    <row r="18" spans="1:5" ht="105">
      <c r="A18" s="15">
        <v>17</v>
      </c>
      <c r="B18" s="15">
        <v>1</v>
      </c>
      <c r="C18" s="15" t="s">
        <v>89</v>
      </c>
      <c r="D18" s="15">
        <v>1</v>
      </c>
      <c r="E18" s="16" t="s">
        <v>90</v>
      </c>
    </row>
    <row r="19" spans="1:5" ht="45">
      <c r="A19" s="15">
        <v>18</v>
      </c>
      <c r="B19" s="15">
        <v>1</v>
      </c>
      <c r="C19" s="15" t="s">
        <v>162</v>
      </c>
      <c r="D19" s="15">
        <v>1</v>
      </c>
      <c r="E19" s="16" t="s">
        <v>163</v>
      </c>
    </row>
    <row r="20" spans="1:5" ht="60">
      <c r="A20" s="15">
        <v>19</v>
      </c>
      <c r="B20" s="15">
        <v>1</v>
      </c>
      <c r="C20" s="15" t="s">
        <v>222</v>
      </c>
      <c r="D20" s="15">
        <v>1</v>
      </c>
      <c r="E20" s="16" t="s">
        <v>223</v>
      </c>
    </row>
    <row r="21" spans="1:5" ht="60">
      <c r="A21" s="15">
        <v>20</v>
      </c>
      <c r="B21" s="15">
        <v>1</v>
      </c>
      <c r="C21" s="15" t="s">
        <v>224</v>
      </c>
      <c r="D21" s="15">
        <v>1</v>
      </c>
      <c r="E21" s="16" t="s">
        <v>228</v>
      </c>
    </row>
    <row r="22" spans="1:5" ht="60">
      <c r="A22" s="15">
        <v>21</v>
      </c>
      <c r="B22" s="15">
        <v>1</v>
      </c>
      <c r="C22" s="15" t="s">
        <v>225</v>
      </c>
      <c r="D22" s="15">
        <v>1</v>
      </c>
      <c r="E22" s="16" t="s">
        <v>227</v>
      </c>
    </row>
    <row r="23" spans="1:5" ht="150">
      <c r="A23" s="15">
        <v>22</v>
      </c>
      <c r="B23" s="15">
        <v>1</v>
      </c>
      <c r="C23" s="15" t="s">
        <v>226</v>
      </c>
      <c r="D23" s="15">
        <v>1</v>
      </c>
      <c r="E23" s="16" t="s">
        <v>229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3"/>
  <dimension ref="A1:R9"/>
  <sheetViews>
    <sheetView workbookViewId="0">
      <selection activeCell="J17" sqref="J17"/>
    </sheetView>
  </sheetViews>
  <sheetFormatPr defaultRowHeight="15"/>
  <cols>
    <col min="1" max="1" width="16.5703125" customWidth="1"/>
    <col min="2" max="2" width="16.7109375" customWidth="1"/>
    <col min="3" max="3" width="15.7109375" customWidth="1"/>
    <col min="4" max="4" width="15.85546875" customWidth="1"/>
    <col min="5" max="6" width="19.28515625" customWidth="1"/>
    <col min="7" max="7" width="13.140625" customWidth="1"/>
    <col min="8" max="8" width="15.140625" customWidth="1"/>
    <col min="9" max="9" width="13.140625" customWidth="1"/>
    <col min="10" max="10" width="12.7109375" customWidth="1"/>
    <col min="11" max="11" width="15.85546875" customWidth="1"/>
    <col min="12" max="12" width="11.7109375" customWidth="1"/>
    <col min="13" max="13" width="16.42578125" customWidth="1"/>
    <col min="14" max="14" width="15" customWidth="1"/>
    <col min="15" max="15" width="13" customWidth="1"/>
    <col min="16" max="16" width="16.85546875" customWidth="1"/>
    <col min="17" max="17" width="11.28515625" customWidth="1"/>
    <col min="18" max="18" width="20.7109375" customWidth="1"/>
  </cols>
  <sheetData>
    <row r="1" spans="1:18" ht="17.25">
      <c r="A1" s="24" t="s">
        <v>232</v>
      </c>
      <c r="B1" s="24" t="s">
        <v>230</v>
      </c>
      <c r="C1" s="24" t="s">
        <v>15</v>
      </c>
      <c r="D1" s="24" t="s">
        <v>54</v>
      </c>
      <c r="E1" s="24" t="s">
        <v>80</v>
      </c>
      <c r="F1" s="24" t="s">
        <v>273</v>
      </c>
      <c r="G1" s="24"/>
      <c r="H1" s="24" t="s">
        <v>78</v>
      </c>
      <c r="I1" s="24" t="s">
        <v>81</v>
      </c>
      <c r="J1" s="24" t="s">
        <v>112</v>
      </c>
      <c r="K1" s="24" t="s">
        <v>113</v>
      </c>
      <c r="L1" s="24" t="s">
        <v>170</v>
      </c>
      <c r="M1" s="24" t="s">
        <v>75</v>
      </c>
      <c r="N1" s="24" t="s">
        <v>157</v>
      </c>
      <c r="O1" s="24" t="s">
        <v>76</v>
      </c>
      <c r="P1" s="24" t="s">
        <v>86</v>
      </c>
      <c r="Q1" s="24" t="s">
        <v>192</v>
      </c>
      <c r="R1" s="24" t="s">
        <v>82</v>
      </c>
    </row>
    <row r="2" spans="1:18">
      <c r="A2" s="19">
        <v>1</v>
      </c>
      <c r="B2" s="19">
        <v>1</v>
      </c>
      <c r="C2" s="19">
        <v>0</v>
      </c>
      <c r="D2" s="19" t="s">
        <v>73</v>
      </c>
      <c r="E2" s="20">
        <v>43524</v>
      </c>
      <c r="F2" s="20"/>
      <c r="G2" s="19"/>
      <c r="H2" s="19">
        <v>3</v>
      </c>
      <c r="I2" s="19">
        <v>3</v>
      </c>
      <c r="J2" s="19">
        <v>5</v>
      </c>
      <c r="K2" s="21">
        <f>J2/L2</f>
        <v>0.55555555555555558</v>
      </c>
      <c r="L2" s="19">
        <f>H2*I2</f>
        <v>9</v>
      </c>
      <c r="M2" s="19">
        <v>13</v>
      </c>
      <c r="N2" s="19"/>
      <c r="O2" s="19"/>
      <c r="P2" s="19">
        <v>1</v>
      </c>
      <c r="Q2" s="19"/>
      <c r="R2" s="22">
        <v>43544.724016203705</v>
      </c>
    </row>
    <row r="3" spans="1:18">
      <c r="A3" s="19">
        <v>2</v>
      </c>
      <c r="B3" s="19">
        <v>2</v>
      </c>
      <c r="C3" s="19">
        <v>0</v>
      </c>
      <c r="D3" s="19" t="s">
        <v>73</v>
      </c>
      <c r="E3" s="20">
        <v>43524</v>
      </c>
      <c r="F3" s="20"/>
      <c r="G3" s="19"/>
      <c r="H3" s="19">
        <v>2</v>
      </c>
      <c r="I3" s="19">
        <v>3</v>
      </c>
      <c r="J3" s="19"/>
      <c r="K3" s="21">
        <f t="shared" ref="K3:K9" si="0">J3/L3</f>
        <v>0</v>
      </c>
      <c r="L3" s="19">
        <f>H3*I3</f>
        <v>6</v>
      </c>
      <c r="M3" s="19">
        <v>4</v>
      </c>
      <c r="N3" s="19"/>
      <c r="O3" s="19"/>
      <c r="P3" s="19">
        <v>2</v>
      </c>
      <c r="Q3" s="19"/>
      <c r="R3" s="22">
        <v>43536.84747685185</v>
      </c>
    </row>
    <row r="4" spans="1:18">
      <c r="A4" s="19">
        <v>3</v>
      </c>
      <c r="B4" s="19">
        <v>3</v>
      </c>
      <c r="C4" s="19">
        <v>0</v>
      </c>
      <c r="D4" s="19" t="s">
        <v>73</v>
      </c>
      <c r="E4" s="20">
        <v>43524</v>
      </c>
      <c r="F4" s="20"/>
      <c r="G4" s="19"/>
      <c r="H4" s="19">
        <v>1</v>
      </c>
      <c r="I4" s="19">
        <v>6</v>
      </c>
      <c r="J4" s="19"/>
      <c r="K4" s="21">
        <f t="shared" si="0"/>
        <v>0</v>
      </c>
      <c r="L4" s="19">
        <f>H4*I4</f>
        <v>6</v>
      </c>
      <c r="M4" s="19"/>
      <c r="N4" s="19"/>
      <c r="O4" s="19"/>
      <c r="P4" s="19">
        <v>6</v>
      </c>
      <c r="Q4" s="19"/>
      <c r="R4" s="23"/>
    </row>
    <row r="5" spans="1:18">
      <c r="A5" s="19">
        <v>4</v>
      </c>
      <c r="B5" s="19">
        <v>4</v>
      </c>
      <c r="C5" s="19">
        <v>0</v>
      </c>
      <c r="D5" s="19" t="s">
        <v>73</v>
      </c>
      <c r="E5" s="20">
        <v>43536</v>
      </c>
      <c r="F5" s="20"/>
      <c r="G5" s="19"/>
      <c r="H5" s="19">
        <v>1</v>
      </c>
      <c r="I5" s="19">
        <v>3</v>
      </c>
      <c r="J5" s="19"/>
      <c r="K5" s="21">
        <f t="shared" si="0"/>
        <v>0</v>
      </c>
      <c r="L5" s="19">
        <f>H5*I5</f>
        <v>3</v>
      </c>
      <c r="M5" s="19">
        <v>3</v>
      </c>
      <c r="N5" s="19"/>
      <c r="O5" s="19"/>
      <c r="P5" s="19"/>
      <c r="Q5" s="19"/>
      <c r="R5" s="22">
        <v>43542.784166666665</v>
      </c>
    </row>
    <row r="6" spans="1:18">
      <c r="A6" s="19">
        <v>5</v>
      </c>
      <c r="B6" s="19">
        <v>5</v>
      </c>
      <c r="C6" s="19">
        <v>0</v>
      </c>
      <c r="D6" s="19" t="s">
        <v>73</v>
      </c>
      <c r="E6" s="20">
        <v>43538</v>
      </c>
      <c r="F6" s="20"/>
      <c r="G6" s="19"/>
      <c r="H6" s="19">
        <v>1</v>
      </c>
      <c r="I6" s="19">
        <v>3</v>
      </c>
      <c r="J6" s="19">
        <v>2</v>
      </c>
      <c r="K6" s="21">
        <f t="shared" si="0"/>
        <v>0.66666666666666663</v>
      </c>
      <c r="L6" s="19">
        <f>H6*I6</f>
        <v>3</v>
      </c>
      <c r="M6" s="19">
        <v>3</v>
      </c>
      <c r="N6" s="19"/>
      <c r="O6" s="19"/>
      <c r="P6" s="19"/>
      <c r="Q6" s="19">
        <v>2</v>
      </c>
      <c r="R6" s="22">
        <v>43543.022164351853</v>
      </c>
    </row>
    <row r="7" spans="1:18">
      <c r="A7" s="19">
        <v>6</v>
      </c>
      <c r="B7" s="19">
        <v>6</v>
      </c>
      <c r="C7" s="19">
        <v>0</v>
      </c>
      <c r="D7" s="19" t="s">
        <v>73</v>
      </c>
      <c r="E7" s="20">
        <v>43549</v>
      </c>
      <c r="F7" s="20"/>
      <c r="G7" s="19"/>
      <c r="H7" s="19">
        <v>1</v>
      </c>
      <c r="I7" s="19">
        <v>1</v>
      </c>
      <c r="J7" s="19"/>
      <c r="K7" s="21">
        <f t="shared" si="0"/>
        <v>0</v>
      </c>
      <c r="L7" s="19">
        <f>H7*I7</f>
        <v>1</v>
      </c>
      <c r="M7" s="19">
        <v>1</v>
      </c>
      <c r="N7" s="19"/>
      <c r="O7" s="19"/>
      <c r="P7" s="19"/>
      <c r="Q7" s="19"/>
      <c r="R7" s="22">
        <v>43550.591516203705</v>
      </c>
    </row>
    <row r="8" spans="1:18">
      <c r="A8" s="19">
        <v>7</v>
      </c>
      <c r="B8" s="19">
        <v>7</v>
      </c>
      <c r="C8" s="19">
        <v>1</v>
      </c>
      <c r="D8" s="19" t="s">
        <v>73</v>
      </c>
      <c r="E8" s="20">
        <v>43556</v>
      </c>
      <c r="F8" s="20"/>
      <c r="G8" s="19"/>
      <c r="H8" s="19">
        <v>1</v>
      </c>
      <c r="I8" s="19">
        <v>1</v>
      </c>
      <c r="J8" s="19"/>
      <c r="K8" s="19">
        <f t="shared" si="0"/>
        <v>0</v>
      </c>
      <c r="L8" s="19">
        <f>H8*I8</f>
        <v>1</v>
      </c>
      <c r="M8" s="19"/>
      <c r="N8" s="19"/>
      <c r="O8" s="19">
        <v>1</v>
      </c>
      <c r="P8" s="19"/>
      <c r="Q8" s="19"/>
      <c r="R8" s="19"/>
    </row>
    <row r="9" spans="1:18">
      <c r="A9" s="19">
        <v>8</v>
      </c>
      <c r="B9" s="19">
        <v>8</v>
      </c>
      <c r="C9" s="19">
        <v>4</v>
      </c>
      <c r="D9" s="19" t="s">
        <v>73</v>
      </c>
      <c r="E9" s="20">
        <v>43556</v>
      </c>
      <c r="F9" s="20"/>
      <c r="G9" s="19"/>
      <c r="H9" s="19">
        <v>3</v>
      </c>
      <c r="I9" s="19">
        <v>1</v>
      </c>
      <c r="J9" s="19"/>
      <c r="K9" s="19">
        <f t="shared" si="0"/>
        <v>0</v>
      </c>
      <c r="L9" s="19">
        <f>H9*I9</f>
        <v>3</v>
      </c>
      <c r="M9" s="19"/>
      <c r="N9" s="19"/>
      <c r="O9" s="19">
        <v>3</v>
      </c>
      <c r="P9" s="19"/>
      <c r="Q9" s="19"/>
      <c r="R9" s="1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5"/>
  <dimension ref="A1:S51"/>
  <sheetViews>
    <sheetView workbookViewId="0">
      <selection activeCell="E6" sqref="E6"/>
    </sheetView>
  </sheetViews>
  <sheetFormatPr defaultRowHeight="15"/>
  <cols>
    <col min="1" max="1" width="24.28515625" style="2" customWidth="1"/>
    <col min="2" max="3" width="21.140625" style="2" customWidth="1"/>
    <col min="4" max="4" width="15" style="2" customWidth="1"/>
    <col min="5" max="5" width="15.28515625" style="2" customWidth="1"/>
    <col min="6" max="6" width="12.85546875" style="2" customWidth="1"/>
    <col min="7" max="7" width="18.7109375" style="2" customWidth="1"/>
    <col min="8" max="8" width="15.7109375" style="2" customWidth="1"/>
    <col min="9" max="9" width="14.5703125" style="2" customWidth="1"/>
    <col min="10" max="10" width="16.28515625" style="2" customWidth="1"/>
    <col min="11" max="11" width="17.42578125" style="2" customWidth="1"/>
    <col min="12" max="13" width="18.85546875" style="2" customWidth="1"/>
    <col min="14" max="14" width="13.28515625" style="2" customWidth="1"/>
    <col min="15" max="15" width="12.140625" style="2" customWidth="1"/>
    <col min="16" max="16" width="101.28515625" style="3" customWidth="1"/>
    <col min="17" max="17" width="29.85546875" style="2" customWidth="1"/>
    <col min="18" max="18" width="31.140625" style="2" customWidth="1"/>
    <col min="19" max="19" width="14.140625" style="2" customWidth="1"/>
    <col min="20" max="16384" width="9.140625" style="2"/>
  </cols>
  <sheetData>
    <row r="1" spans="1:19" ht="17.25">
      <c r="A1" s="17" t="s">
        <v>128</v>
      </c>
      <c r="B1" s="24" t="s">
        <v>232</v>
      </c>
      <c r="C1" s="24" t="s">
        <v>231</v>
      </c>
      <c r="D1" s="17" t="s">
        <v>36</v>
      </c>
      <c r="E1" s="17" t="s">
        <v>18</v>
      </c>
      <c r="F1" s="17" t="s">
        <v>154</v>
      </c>
      <c r="G1" s="17" t="s">
        <v>135</v>
      </c>
      <c r="H1" s="17" t="s">
        <v>15</v>
      </c>
      <c r="I1" s="17" t="s">
        <v>136</v>
      </c>
      <c r="J1" s="17" t="s">
        <v>137</v>
      </c>
      <c r="K1" s="17" t="s">
        <v>138</v>
      </c>
      <c r="L1" s="17" t="s">
        <v>49</v>
      </c>
      <c r="M1" s="17" t="s">
        <v>50</v>
      </c>
      <c r="N1" s="17" t="s">
        <v>51</v>
      </c>
      <c r="O1" s="17" t="s">
        <v>52</v>
      </c>
      <c r="P1" s="17" t="s">
        <v>161</v>
      </c>
      <c r="Q1" s="17" t="s">
        <v>53</v>
      </c>
      <c r="R1" s="17"/>
      <c r="S1" s="17" t="s">
        <v>83</v>
      </c>
    </row>
    <row r="2" spans="1:19">
      <c r="A2" s="15">
        <v>1</v>
      </c>
      <c r="B2" s="15">
        <v>4</v>
      </c>
      <c r="C2" s="15"/>
      <c r="D2" s="15">
        <v>2</v>
      </c>
      <c r="E2" s="15" t="s">
        <v>75</v>
      </c>
      <c r="F2" s="15"/>
      <c r="G2" s="15"/>
      <c r="H2" s="15">
        <v>1</v>
      </c>
      <c r="I2" s="15">
        <v>1</v>
      </c>
      <c r="J2" s="15">
        <v>1</v>
      </c>
      <c r="K2" s="15">
        <v>1</v>
      </c>
      <c r="L2" s="22">
        <v>43531.712476851855</v>
      </c>
      <c r="M2" s="22">
        <v>43532.212650462963</v>
      </c>
      <c r="N2" s="15">
        <v>0</v>
      </c>
      <c r="O2" s="15">
        <v>1</v>
      </c>
      <c r="P2" s="25" t="s">
        <v>172</v>
      </c>
      <c r="Q2" s="15"/>
      <c r="R2" s="15"/>
      <c r="S2" s="26">
        <f t="shared" ref="S2:S38" si="0">M2-L2</f>
        <v>0.50017361110803904</v>
      </c>
    </row>
    <row r="3" spans="1:19">
      <c r="A3" s="15">
        <v>2</v>
      </c>
      <c r="B3" s="15">
        <v>5</v>
      </c>
      <c r="C3" s="15"/>
      <c r="D3" s="15">
        <v>3</v>
      </c>
      <c r="E3" s="15" t="s">
        <v>75</v>
      </c>
      <c r="F3" s="15"/>
      <c r="G3" s="15"/>
      <c r="H3" s="15">
        <v>2</v>
      </c>
      <c r="I3" s="15">
        <v>1</v>
      </c>
      <c r="J3" s="15">
        <v>2</v>
      </c>
      <c r="K3" s="15">
        <v>1</v>
      </c>
      <c r="L3" s="22">
        <v>43531.712476851855</v>
      </c>
      <c r="M3" s="22">
        <v>43532.008923611109</v>
      </c>
      <c r="N3" s="15">
        <v>0</v>
      </c>
      <c r="O3" s="15">
        <v>1</v>
      </c>
      <c r="P3" s="25" t="s">
        <v>173</v>
      </c>
      <c r="Q3" s="15"/>
      <c r="R3" s="15"/>
      <c r="S3" s="26">
        <f t="shared" si="0"/>
        <v>0.29644675925374031</v>
      </c>
    </row>
    <row r="4" spans="1:19">
      <c r="A4" s="15">
        <v>3</v>
      </c>
      <c r="B4" s="15">
        <v>8</v>
      </c>
      <c r="C4" s="15"/>
      <c r="D4" s="15">
        <v>3</v>
      </c>
      <c r="E4" s="15" t="s">
        <v>75</v>
      </c>
      <c r="F4" s="15"/>
      <c r="G4" s="15"/>
      <c r="H4" s="15">
        <v>4</v>
      </c>
      <c r="I4" s="15">
        <v>1</v>
      </c>
      <c r="J4" s="15">
        <v>4</v>
      </c>
      <c r="K4" s="15">
        <v>1</v>
      </c>
      <c r="L4" s="22">
        <v>43531.751006944447</v>
      </c>
      <c r="M4" s="22">
        <v>43532.056574074071</v>
      </c>
      <c r="N4" s="15">
        <v>0</v>
      </c>
      <c r="O4" s="15">
        <v>1</v>
      </c>
      <c r="P4" s="25" t="s">
        <v>174</v>
      </c>
      <c r="Q4" s="15"/>
      <c r="R4" s="15"/>
      <c r="S4" s="26">
        <f t="shared" si="0"/>
        <v>0.30556712962425081</v>
      </c>
    </row>
    <row r="5" spans="1:19">
      <c r="A5" s="15">
        <v>4</v>
      </c>
      <c r="B5" s="15">
        <v>6</v>
      </c>
      <c r="C5" s="15"/>
      <c r="D5" s="15">
        <v>4</v>
      </c>
      <c r="E5" s="15" t="s">
        <v>75</v>
      </c>
      <c r="F5" s="15"/>
      <c r="G5" s="15"/>
      <c r="H5" s="15">
        <v>1</v>
      </c>
      <c r="I5" s="15">
        <v>1</v>
      </c>
      <c r="J5" s="15">
        <v>1</v>
      </c>
      <c r="K5" s="15">
        <v>1</v>
      </c>
      <c r="L5" s="22">
        <v>43532.470219907409</v>
      </c>
      <c r="M5" s="22">
        <v>43532.795740740738</v>
      </c>
      <c r="N5" s="15">
        <v>1</v>
      </c>
      <c r="O5" s="15">
        <v>2</v>
      </c>
      <c r="P5" s="25" t="s">
        <v>175</v>
      </c>
      <c r="Q5" s="15"/>
      <c r="R5" s="15"/>
      <c r="S5" s="26">
        <f t="shared" si="0"/>
        <v>0.32552083332848269</v>
      </c>
    </row>
    <row r="6" spans="1:19">
      <c r="A6" s="15">
        <v>5</v>
      </c>
      <c r="B6" s="15">
        <v>7</v>
      </c>
      <c r="C6" s="15"/>
      <c r="D6" s="15">
        <v>2</v>
      </c>
      <c r="E6" s="15" t="s">
        <v>75</v>
      </c>
      <c r="F6" s="15"/>
      <c r="G6" s="15"/>
      <c r="H6" s="15">
        <v>3</v>
      </c>
      <c r="I6" s="15">
        <v>1</v>
      </c>
      <c r="J6" s="15">
        <v>3</v>
      </c>
      <c r="K6" s="15">
        <v>1</v>
      </c>
      <c r="L6" s="22">
        <v>43532.470231481479</v>
      </c>
      <c r="M6" s="22">
        <v>43532.970405092594</v>
      </c>
      <c r="N6" s="15">
        <v>0</v>
      </c>
      <c r="O6" s="15">
        <v>1</v>
      </c>
      <c r="P6" s="25" t="s">
        <v>176</v>
      </c>
      <c r="Q6" s="15"/>
      <c r="R6" s="15"/>
      <c r="S6" s="26">
        <f t="shared" si="0"/>
        <v>0.500173611115315</v>
      </c>
    </row>
    <row r="7" spans="1:19">
      <c r="A7" s="15">
        <v>6</v>
      </c>
      <c r="B7" s="15">
        <v>9</v>
      </c>
      <c r="C7" s="15"/>
      <c r="D7" s="15">
        <v>4</v>
      </c>
      <c r="E7" s="15" t="s">
        <v>75</v>
      </c>
      <c r="F7" s="15"/>
      <c r="G7" s="15"/>
      <c r="H7" s="15">
        <v>4</v>
      </c>
      <c r="I7" s="15">
        <v>1</v>
      </c>
      <c r="J7" s="15">
        <v>4</v>
      </c>
      <c r="K7" s="15">
        <v>1</v>
      </c>
      <c r="L7" s="22">
        <v>43532.470243055555</v>
      </c>
      <c r="M7" s="22">
        <v>43532.782465277778</v>
      </c>
      <c r="N7" s="15">
        <v>1</v>
      </c>
      <c r="O7" s="15">
        <v>2</v>
      </c>
      <c r="P7" s="25" t="s">
        <v>177</v>
      </c>
      <c r="Q7" s="15"/>
      <c r="R7" s="15"/>
      <c r="S7" s="26">
        <f t="shared" si="0"/>
        <v>0.31222222222277196</v>
      </c>
    </row>
    <row r="8" spans="1:19">
      <c r="A8" s="15">
        <v>7</v>
      </c>
      <c r="B8" s="15">
        <v>5</v>
      </c>
      <c r="C8" s="15"/>
      <c r="D8" s="15">
        <v>3</v>
      </c>
      <c r="E8" s="15" t="s">
        <v>75</v>
      </c>
      <c r="F8" s="15" t="s">
        <v>156</v>
      </c>
      <c r="G8" s="15" t="s">
        <v>178</v>
      </c>
      <c r="H8" s="15">
        <v>2</v>
      </c>
      <c r="I8" s="15">
        <v>1</v>
      </c>
      <c r="J8" s="15">
        <v>2</v>
      </c>
      <c r="K8" s="15">
        <v>1</v>
      </c>
      <c r="L8" s="22">
        <v>43532.470219907409</v>
      </c>
      <c r="M8" s="22">
        <v>43532.835173611114</v>
      </c>
      <c r="N8" s="15">
        <v>1</v>
      </c>
      <c r="O8" s="15">
        <v>2</v>
      </c>
      <c r="P8" s="25" t="s">
        <v>179</v>
      </c>
      <c r="Q8" s="15"/>
      <c r="R8" s="15"/>
      <c r="S8" s="26">
        <f t="shared" si="0"/>
        <v>0.36495370370539604</v>
      </c>
    </row>
    <row r="9" spans="1:19">
      <c r="A9" s="15">
        <v>8</v>
      </c>
      <c r="B9" s="15">
        <v>12</v>
      </c>
      <c r="C9" s="15"/>
      <c r="D9" s="15">
        <v>10</v>
      </c>
      <c r="E9" s="15" t="s">
        <v>75</v>
      </c>
      <c r="F9" s="15"/>
      <c r="G9" s="15"/>
      <c r="H9" s="15">
        <v>1</v>
      </c>
      <c r="I9" s="15">
        <v>1</v>
      </c>
      <c r="J9" s="15">
        <v>1</v>
      </c>
      <c r="K9" s="15">
        <v>1</v>
      </c>
      <c r="L9" s="22">
        <v>43535.450833333336</v>
      </c>
      <c r="M9" s="22">
        <v>43536.132291666669</v>
      </c>
      <c r="N9" s="15">
        <v>2</v>
      </c>
      <c r="O9" s="15">
        <v>3</v>
      </c>
      <c r="P9" s="25" t="s">
        <v>180</v>
      </c>
      <c r="Q9" s="15"/>
      <c r="R9" s="15"/>
      <c r="S9" s="26">
        <f t="shared" si="0"/>
        <v>0.68145833333255723</v>
      </c>
    </row>
    <row r="10" spans="1:19">
      <c r="A10" s="15">
        <v>9</v>
      </c>
      <c r="B10" s="15">
        <v>13</v>
      </c>
      <c r="C10" s="15"/>
      <c r="D10" s="15">
        <v>11</v>
      </c>
      <c r="E10" s="15" t="s">
        <v>75</v>
      </c>
      <c r="F10" s="15"/>
      <c r="G10" s="15"/>
      <c r="H10" s="15">
        <v>2</v>
      </c>
      <c r="I10" s="15">
        <v>1</v>
      </c>
      <c r="J10" s="15">
        <v>2</v>
      </c>
      <c r="K10" s="15">
        <v>1</v>
      </c>
      <c r="L10" s="22">
        <v>43535.450844907406</v>
      </c>
      <c r="M10" s="22">
        <v>43535.885462962964</v>
      </c>
      <c r="N10" s="15">
        <v>2</v>
      </c>
      <c r="O10" s="15">
        <v>3</v>
      </c>
      <c r="P10" s="25" t="s">
        <v>181</v>
      </c>
      <c r="Q10" s="15"/>
      <c r="R10" s="15"/>
      <c r="S10" s="26">
        <f t="shared" si="0"/>
        <v>0.43461805555853061</v>
      </c>
    </row>
    <row r="11" spans="1:19">
      <c r="A11" s="15">
        <v>10</v>
      </c>
      <c r="B11" s="15">
        <v>8</v>
      </c>
      <c r="C11" s="15"/>
      <c r="D11" s="15">
        <v>3</v>
      </c>
      <c r="E11" s="15" t="s">
        <v>75</v>
      </c>
      <c r="F11" s="15" t="s">
        <v>156</v>
      </c>
      <c r="G11" s="15" t="s">
        <v>178</v>
      </c>
      <c r="H11" s="15">
        <v>3</v>
      </c>
      <c r="I11" s="15">
        <v>1</v>
      </c>
      <c r="J11" s="15">
        <v>3</v>
      </c>
      <c r="K11" s="15">
        <v>1</v>
      </c>
      <c r="L11" s="22">
        <v>43535.450856481482</v>
      </c>
      <c r="M11" s="22">
        <v>43535.815416666665</v>
      </c>
      <c r="N11" s="15">
        <v>1</v>
      </c>
      <c r="O11" s="15">
        <v>2</v>
      </c>
      <c r="P11" s="25" t="s">
        <v>182</v>
      </c>
      <c r="Q11" s="15"/>
      <c r="R11" s="15"/>
      <c r="S11" s="26">
        <f t="shared" si="0"/>
        <v>0.36456018518219935</v>
      </c>
    </row>
    <row r="12" spans="1:19">
      <c r="A12" s="15">
        <v>11</v>
      </c>
      <c r="B12" s="15">
        <v>8</v>
      </c>
      <c r="C12" s="15"/>
      <c r="D12" s="15">
        <v>3</v>
      </c>
      <c r="E12" s="15" t="s">
        <v>75</v>
      </c>
      <c r="F12" s="15" t="s">
        <v>156</v>
      </c>
      <c r="G12" s="15" t="s">
        <v>178</v>
      </c>
      <c r="H12" s="15">
        <v>4</v>
      </c>
      <c r="I12" s="15">
        <v>1</v>
      </c>
      <c r="J12" s="15">
        <v>4</v>
      </c>
      <c r="K12" s="15">
        <v>1</v>
      </c>
      <c r="L12" s="22">
        <v>43535.450868055559</v>
      </c>
      <c r="M12" s="22">
        <v>43535.793298611112</v>
      </c>
      <c r="N12" s="15">
        <v>2</v>
      </c>
      <c r="O12" s="15">
        <v>3</v>
      </c>
      <c r="P12" s="25" t="s">
        <v>183</v>
      </c>
      <c r="Q12" s="15"/>
      <c r="R12" s="15"/>
      <c r="S12" s="26">
        <f t="shared" si="0"/>
        <v>0.34243055555270985</v>
      </c>
    </row>
    <row r="13" spans="1:19">
      <c r="A13" s="15">
        <v>12</v>
      </c>
      <c r="B13" s="15" t="s">
        <v>213</v>
      </c>
      <c r="C13" s="15"/>
      <c r="D13" s="15">
        <v>1</v>
      </c>
      <c r="E13" s="15" t="s">
        <v>75</v>
      </c>
      <c r="F13" s="15"/>
      <c r="G13" s="15"/>
      <c r="H13" s="15">
        <v>1</v>
      </c>
      <c r="I13" s="15">
        <v>1</v>
      </c>
      <c r="J13" s="15">
        <v>1</v>
      </c>
      <c r="K13" s="15">
        <v>1</v>
      </c>
      <c r="L13" s="22">
        <v>43536.41642361111</v>
      </c>
      <c r="M13" s="22">
        <v>43536.688993055555</v>
      </c>
      <c r="N13" s="15">
        <v>3</v>
      </c>
      <c r="O13" s="15">
        <v>3.5</v>
      </c>
      <c r="P13" s="25" t="s">
        <v>184</v>
      </c>
      <c r="Q13" s="15"/>
      <c r="R13" s="15"/>
      <c r="S13" s="26">
        <f t="shared" si="0"/>
        <v>0.27256944444525288</v>
      </c>
    </row>
    <row r="14" spans="1:19">
      <c r="A14" s="15">
        <v>13</v>
      </c>
      <c r="B14" s="15" t="s">
        <v>213</v>
      </c>
      <c r="C14" s="15"/>
      <c r="D14" s="15">
        <v>1</v>
      </c>
      <c r="E14" s="15" t="s">
        <v>75</v>
      </c>
      <c r="F14" s="15"/>
      <c r="G14" s="15"/>
      <c r="H14" s="15">
        <v>2</v>
      </c>
      <c r="I14" s="15">
        <v>1</v>
      </c>
      <c r="J14" s="15">
        <v>2</v>
      </c>
      <c r="K14" s="15">
        <v>1</v>
      </c>
      <c r="L14" s="22">
        <v>43536.416435185187</v>
      </c>
      <c r="M14" s="22">
        <v>43536.663217592592</v>
      </c>
      <c r="N14" s="15">
        <v>3</v>
      </c>
      <c r="O14" s="15">
        <v>3.5</v>
      </c>
      <c r="P14" s="25" t="s">
        <v>185</v>
      </c>
      <c r="Q14" s="15"/>
      <c r="R14" s="15"/>
      <c r="S14" s="26">
        <f t="shared" si="0"/>
        <v>0.24678240740468027</v>
      </c>
    </row>
    <row r="15" spans="1:19">
      <c r="A15" s="15">
        <v>14</v>
      </c>
      <c r="B15" s="15">
        <v>14</v>
      </c>
      <c r="C15" s="15"/>
      <c r="D15" s="15">
        <v>10</v>
      </c>
      <c r="E15" s="15" t="s">
        <v>75</v>
      </c>
      <c r="F15" s="15"/>
      <c r="G15" s="15"/>
      <c r="H15" s="15">
        <v>3</v>
      </c>
      <c r="I15" s="15">
        <v>1</v>
      </c>
      <c r="J15" s="15">
        <v>3</v>
      </c>
      <c r="K15" s="15">
        <v>1</v>
      </c>
      <c r="L15" s="22">
        <v>43536.416446759256</v>
      </c>
      <c r="M15" s="22">
        <v>43537.119398148148</v>
      </c>
      <c r="N15" s="15">
        <v>2</v>
      </c>
      <c r="O15" s="15">
        <v>3</v>
      </c>
      <c r="P15" s="25" t="s">
        <v>186</v>
      </c>
      <c r="Q15" s="15"/>
      <c r="R15" s="15"/>
      <c r="S15" s="26">
        <f t="shared" si="0"/>
        <v>0.70295138889196096</v>
      </c>
    </row>
    <row r="16" spans="1:19">
      <c r="A16" s="15">
        <v>15</v>
      </c>
      <c r="B16" s="15">
        <v>15</v>
      </c>
      <c r="C16" s="15"/>
      <c r="D16" s="15">
        <v>11</v>
      </c>
      <c r="E16" s="15" t="s">
        <v>75</v>
      </c>
      <c r="F16" s="15"/>
      <c r="G16" s="15"/>
      <c r="H16" s="15">
        <v>4</v>
      </c>
      <c r="I16" s="15">
        <v>1</v>
      </c>
      <c r="J16" s="15">
        <v>4</v>
      </c>
      <c r="K16" s="15">
        <v>1</v>
      </c>
      <c r="L16" s="22">
        <v>43536.416458333333</v>
      </c>
      <c r="M16" s="22">
        <v>43536.84747685185</v>
      </c>
      <c r="N16" s="15">
        <v>3</v>
      </c>
      <c r="O16" s="15">
        <v>4</v>
      </c>
      <c r="P16" s="25" t="s">
        <v>187</v>
      </c>
      <c r="Q16" s="15"/>
      <c r="R16" s="15"/>
      <c r="S16" s="26">
        <f t="shared" si="0"/>
        <v>0.43101851851679385</v>
      </c>
    </row>
    <row r="17" spans="1:19">
      <c r="A17" s="15">
        <v>16</v>
      </c>
      <c r="B17" s="15">
        <v>23</v>
      </c>
      <c r="C17" s="15"/>
      <c r="D17" s="15">
        <v>14</v>
      </c>
      <c r="E17" s="15" t="s">
        <v>75</v>
      </c>
      <c r="F17" s="15"/>
      <c r="G17" s="15"/>
      <c r="H17" s="15">
        <v>1</v>
      </c>
      <c r="I17" s="15">
        <v>1</v>
      </c>
      <c r="J17" s="15">
        <v>1</v>
      </c>
      <c r="K17" s="15">
        <v>1</v>
      </c>
      <c r="L17" s="22">
        <v>43537.397268518522</v>
      </c>
      <c r="M17" s="22">
        <v>43537.519224537034</v>
      </c>
      <c r="N17" s="15">
        <v>3.5</v>
      </c>
      <c r="O17" s="15">
        <v>4</v>
      </c>
      <c r="P17" s="25" t="s">
        <v>188</v>
      </c>
      <c r="Q17" s="15"/>
      <c r="R17" s="15"/>
      <c r="S17" s="26">
        <f t="shared" si="0"/>
        <v>0.12195601851271931</v>
      </c>
    </row>
    <row r="18" spans="1:19">
      <c r="A18" s="15">
        <v>17</v>
      </c>
      <c r="B18" s="15">
        <v>24</v>
      </c>
      <c r="C18" s="15"/>
      <c r="D18" s="15">
        <v>14</v>
      </c>
      <c r="E18" s="15" t="s">
        <v>75</v>
      </c>
      <c r="F18" s="15"/>
      <c r="G18" s="15"/>
      <c r="H18" s="15">
        <v>4</v>
      </c>
      <c r="I18" s="15">
        <v>1</v>
      </c>
      <c r="J18" s="15">
        <v>4</v>
      </c>
      <c r="K18" s="15">
        <v>1</v>
      </c>
      <c r="L18" s="22">
        <v>43537.397280092591</v>
      </c>
      <c r="M18" s="22">
        <v>43537.704675925925</v>
      </c>
      <c r="N18" s="15">
        <v>4</v>
      </c>
      <c r="O18" s="15">
        <v>5</v>
      </c>
      <c r="P18" s="25" t="s">
        <v>189</v>
      </c>
      <c r="Q18" s="15"/>
      <c r="R18" s="15"/>
      <c r="S18" s="26">
        <f t="shared" si="0"/>
        <v>0.30739583333343035</v>
      </c>
    </row>
    <row r="19" spans="1:19">
      <c r="A19" s="15">
        <v>18</v>
      </c>
      <c r="B19" s="15" t="s">
        <v>213</v>
      </c>
      <c r="C19" s="15"/>
      <c r="D19" s="15">
        <v>1</v>
      </c>
      <c r="E19" s="15" t="s">
        <v>75</v>
      </c>
      <c r="F19" s="15"/>
      <c r="G19" s="15"/>
      <c r="H19" s="15">
        <v>1</v>
      </c>
      <c r="I19" s="15">
        <v>1</v>
      </c>
      <c r="J19" s="15">
        <v>1</v>
      </c>
      <c r="K19" s="15">
        <v>1</v>
      </c>
      <c r="L19" s="22">
        <v>43537.726597222223</v>
      </c>
      <c r="M19" s="22">
        <v>43537.994976851849</v>
      </c>
      <c r="N19" s="15">
        <v>4</v>
      </c>
      <c r="O19" s="15">
        <v>4.5</v>
      </c>
      <c r="P19" s="25" t="s">
        <v>201</v>
      </c>
      <c r="Q19" s="15"/>
      <c r="R19" s="15"/>
      <c r="S19" s="26">
        <f t="shared" si="0"/>
        <v>0.26837962962599704</v>
      </c>
    </row>
    <row r="20" spans="1:19">
      <c r="A20" s="15">
        <v>19</v>
      </c>
      <c r="B20" s="15" t="s">
        <v>213</v>
      </c>
      <c r="C20" s="15"/>
      <c r="D20" s="15">
        <v>1</v>
      </c>
      <c r="E20" s="15" t="s">
        <v>75</v>
      </c>
      <c r="F20" s="15"/>
      <c r="G20" s="15"/>
      <c r="H20" s="15">
        <v>3</v>
      </c>
      <c r="I20" s="15">
        <v>1</v>
      </c>
      <c r="J20" s="15">
        <v>3</v>
      </c>
      <c r="K20" s="15">
        <v>1</v>
      </c>
      <c r="L20" s="22">
        <v>43537.7266087963</v>
      </c>
      <c r="M20" s="22">
        <v>43537.996388888889</v>
      </c>
      <c r="N20" s="15">
        <v>3</v>
      </c>
      <c r="O20" s="15">
        <v>3.5</v>
      </c>
      <c r="P20" s="25" t="s">
        <v>202</v>
      </c>
      <c r="Q20" s="15"/>
      <c r="R20" s="15"/>
      <c r="S20" s="26">
        <f t="shared" si="0"/>
        <v>0.26978009258891689</v>
      </c>
    </row>
    <row r="21" spans="1:19">
      <c r="A21" s="15">
        <v>20</v>
      </c>
      <c r="B21" s="15" t="s">
        <v>213</v>
      </c>
      <c r="C21" s="15"/>
      <c r="D21" s="15">
        <v>1</v>
      </c>
      <c r="E21" s="15" t="s">
        <v>75</v>
      </c>
      <c r="F21" s="15"/>
      <c r="G21" s="15"/>
      <c r="H21" s="15">
        <v>4</v>
      </c>
      <c r="I21" s="15">
        <v>1</v>
      </c>
      <c r="J21" s="15">
        <v>4</v>
      </c>
      <c r="K21" s="15">
        <v>1</v>
      </c>
      <c r="L21" s="22">
        <v>43537.7266087963</v>
      </c>
      <c r="M21" s="22">
        <v>43537.999560185184</v>
      </c>
      <c r="N21" s="15">
        <v>5</v>
      </c>
      <c r="O21" s="15">
        <v>5.5</v>
      </c>
      <c r="P21" s="25" t="s">
        <v>203</v>
      </c>
      <c r="Q21" s="15"/>
      <c r="R21" s="15"/>
      <c r="S21" s="26">
        <f t="shared" si="0"/>
        <v>0.27295138888439396</v>
      </c>
    </row>
    <row r="22" spans="1:19">
      <c r="A22" s="15">
        <v>21</v>
      </c>
      <c r="B22" s="15">
        <v>1</v>
      </c>
      <c r="C22" s="15"/>
      <c r="D22" s="15">
        <v>5</v>
      </c>
      <c r="E22" s="15" t="s">
        <v>75</v>
      </c>
      <c r="F22" s="15"/>
      <c r="G22" s="15"/>
      <c r="H22" s="15">
        <v>3</v>
      </c>
      <c r="I22" s="15">
        <v>1</v>
      </c>
      <c r="J22" s="15">
        <v>3</v>
      </c>
      <c r="K22" s="15">
        <v>1</v>
      </c>
      <c r="L22" s="22">
        <v>43538.439259259256</v>
      </c>
      <c r="M22" s="22">
        <v>43538.695821759262</v>
      </c>
      <c r="N22" s="15">
        <v>3.5</v>
      </c>
      <c r="O22" s="15">
        <v>4</v>
      </c>
      <c r="P22" s="25" t="s">
        <v>190</v>
      </c>
      <c r="Q22" s="15"/>
      <c r="R22" s="15"/>
      <c r="S22" s="26">
        <f t="shared" si="0"/>
        <v>0.2565625000061118</v>
      </c>
    </row>
    <row r="23" spans="1:19">
      <c r="A23" s="15">
        <v>22</v>
      </c>
      <c r="B23" s="15">
        <v>2</v>
      </c>
      <c r="C23" s="15"/>
      <c r="D23" s="15">
        <v>6</v>
      </c>
      <c r="E23" s="15" t="s">
        <v>75</v>
      </c>
      <c r="F23" s="15"/>
      <c r="G23" s="15"/>
      <c r="H23" s="15">
        <v>4</v>
      </c>
      <c r="I23" s="15">
        <v>1</v>
      </c>
      <c r="J23" s="15">
        <v>4</v>
      </c>
      <c r="K23" s="15">
        <v>1</v>
      </c>
      <c r="L23" s="22">
        <v>43538.439270833333</v>
      </c>
      <c r="M23" s="22">
        <v>43538.482141203705</v>
      </c>
      <c r="N23" s="15">
        <v>5.5</v>
      </c>
      <c r="O23" s="15">
        <v>6</v>
      </c>
      <c r="P23" s="25" t="s">
        <v>191</v>
      </c>
      <c r="Q23" s="15"/>
      <c r="R23" s="15"/>
      <c r="S23" s="26">
        <f t="shared" si="0"/>
        <v>4.2870370372838806E-2</v>
      </c>
    </row>
    <row r="24" spans="1:19">
      <c r="A24" s="15">
        <v>23</v>
      </c>
      <c r="B24" s="15">
        <v>26</v>
      </c>
      <c r="C24" s="15"/>
      <c r="D24" s="15">
        <v>16</v>
      </c>
      <c r="E24" s="15" t="s">
        <v>192</v>
      </c>
      <c r="F24" s="15"/>
      <c r="G24" s="15"/>
      <c r="H24" s="15">
        <v>2</v>
      </c>
      <c r="I24" s="15">
        <v>1</v>
      </c>
      <c r="J24" s="15">
        <v>2</v>
      </c>
      <c r="K24" s="15">
        <v>1</v>
      </c>
      <c r="L24" s="22">
        <v>43539.461712962962</v>
      </c>
      <c r="M24" s="22">
        <v>43539.594699074078</v>
      </c>
      <c r="N24" s="15">
        <v>3.5</v>
      </c>
      <c r="O24" s="15">
        <v>3.5</v>
      </c>
      <c r="P24" s="25" t="s">
        <v>210</v>
      </c>
      <c r="Q24" s="15" t="s">
        <v>91</v>
      </c>
      <c r="R24" s="15"/>
      <c r="S24" s="26">
        <f t="shared" si="0"/>
        <v>0.132986111115315</v>
      </c>
    </row>
    <row r="25" spans="1:19">
      <c r="A25" s="15">
        <v>24</v>
      </c>
      <c r="B25" s="15">
        <v>27</v>
      </c>
      <c r="C25" s="15"/>
      <c r="D25" s="15">
        <v>16</v>
      </c>
      <c r="E25" s="15" t="s">
        <v>192</v>
      </c>
      <c r="F25" s="15"/>
      <c r="G25" s="15"/>
      <c r="H25" s="15">
        <v>3</v>
      </c>
      <c r="I25" s="15">
        <v>1</v>
      </c>
      <c r="J25" s="15">
        <v>3</v>
      </c>
      <c r="K25" s="15">
        <v>1</v>
      </c>
      <c r="L25" s="22">
        <v>43539.468090277776</v>
      </c>
      <c r="M25" s="22">
        <v>43539.594699074078</v>
      </c>
      <c r="N25" s="15">
        <v>4</v>
      </c>
      <c r="O25" s="15">
        <v>4.2</v>
      </c>
      <c r="P25" s="25" t="s">
        <v>211</v>
      </c>
      <c r="Q25" s="15" t="s">
        <v>91</v>
      </c>
      <c r="R25" s="15"/>
      <c r="S25" s="26">
        <f t="shared" si="0"/>
        <v>0.12660879630129784</v>
      </c>
    </row>
    <row r="26" spans="1:19">
      <c r="A26" s="15">
        <v>25</v>
      </c>
      <c r="B26" s="15">
        <v>26</v>
      </c>
      <c r="C26" s="15"/>
      <c r="D26" s="15">
        <v>16</v>
      </c>
      <c r="E26" s="15" t="s">
        <v>75</v>
      </c>
      <c r="F26" s="15" t="s">
        <v>156</v>
      </c>
      <c r="G26" s="15" t="s">
        <v>193</v>
      </c>
      <c r="H26" s="15">
        <v>2</v>
      </c>
      <c r="I26" s="15">
        <v>1</v>
      </c>
      <c r="J26" s="15">
        <v>2</v>
      </c>
      <c r="K26" s="15">
        <v>1</v>
      </c>
      <c r="L26" s="22">
        <v>43539.705266203702</v>
      </c>
      <c r="M26" s="22">
        <v>43540.561145833337</v>
      </c>
      <c r="N26" s="15">
        <v>3.5</v>
      </c>
      <c r="O26" s="15">
        <v>4</v>
      </c>
      <c r="P26" s="25" t="s">
        <v>194</v>
      </c>
      <c r="Q26" s="15"/>
      <c r="R26" s="15"/>
      <c r="S26" s="26">
        <f t="shared" si="0"/>
        <v>0.85587962963472819</v>
      </c>
    </row>
    <row r="27" spans="1:19">
      <c r="A27" s="15">
        <v>26</v>
      </c>
      <c r="B27" s="15">
        <v>27</v>
      </c>
      <c r="C27" s="15"/>
      <c r="D27" s="15">
        <v>16</v>
      </c>
      <c r="E27" s="15" t="s">
        <v>75</v>
      </c>
      <c r="F27" s="15" t="s">
        <v>156</v>
      </c>
      <c r="G27" s="15" t="s">
        <v>193</v>
      </c>
      <c r="H27" s="15">
        <v>3</v>
      </c>
      <c r="I27" s="15">
        <v>1</v>
      </c>
      <c r="J27" s="15">
        <v>3</v>
      </c>
      <c r="K27" s="15">
        <v>1</v>
      </c>
      <c r="L27" s="22">
        <v>43539.705277777779</v>
      </c>
      <c r="M27" s="22">
        <v>43540.57439814815</v>
      </c>
      <c r="N27" s="15">
        <v>4.2</v>
      </c>
      <c r="O27" s="15">
        <v>5</v>
      </c>
      <c r="P27" s="25" t="s">
        <v>195</v>
      </c>
      <c r="Q27" s="15"/>
      <c r="R27" s="15"/>
      <c r="S27" s="26">
        <f t="shared" si="0"/>
        <v>0.86912037037109258</v>
      </c>
    </row>
    <row r="28" spans="1:19">
      <c r="A28" s="15">
        <v>27</v>
      </c>
      <c r="B28" s="15" t="s">
        <v>213</v>
      </c>
      <c r="C28" s="15"/>
      <c r="D28" s="15">
        <v>1</v>
      </c>
      <c r="E28" s="15" t="s">
        <v>75</v>
      </c>
      <c r="F28" s="15"/>
      <c r="G28" s="15"/>
      <c r="H28" s="15">
        <v>2</v>
      </c>
      <c r="I28" s="15">
        <v>1</v>
      </c>
      <c r="J28" s="15">
        <v>2</v>
      </c>
      <c r="K28" s="15">
        <v>1</v>
      </c>
      <c r="L28" s="22">
        <v>43542.446087962962</v>
      </c>
      <c r="M28" s="22">
        <v>43542.712083333332</v>
      </c>
      <c r="N28" s="15">
        <v>4</v>
      </c>
      <c r="O28" s="15">
        <v>4.5</v>
      </c>
      <c r="P28" s="25" t="s">
        <v>204</v>
      </c>
      <c r="Q28" s="15"/>
      <c r="R28" s="15"/>
      <c r="S28" s="26">
        <f t="shared" si="0"/>
        <v>0.26599537036963739</v>
      </c>
    </row>
    <row r="29" spans="1:19">
      <c r="A29" s="15">
        <v>28</v>
      </c>
      <c r="B29" s="15" t="s">
        <v>213</v>
      </c>
      <c r="C29" s="15"/>
      <c r="D29" s="15">
        <v>1</v>
      </c>
      <c r="E29" s="15" t="s">
        <v>75</v>
      </c>
      <c r="F29" s="15"/>
      <c r="G29" s="15"/>
      <c r="H29" s="15">
        <v>3</v>
      </c>
      <c r="I29" s="15">
        <v>1</v>
      </c>
      <c r="J29" s="15">
        <v>3</v>
      </c>
      <c r="K29" s="15">
        <v>1</v>
      </c>
      <c r="L29" s="22">
        <v>43542.446099537039</v>
      </c>
      <c r="M29" s="22">
        <v>43542.706944444442</v>
      </c>
      <c r="N29" s="15">
        <v>5</v>
      </c>
      <c r="O29" s="15">
        <v>5.5</v>
      </c>
      <c r="P29" s="25" t="s">
        <v>205</v>
      </c>
      <c r="Q29" s="15"/>
      <c r="R29" s="15"/>
      <c r="S29" s="26">
        <f t="shared" si="0"/>
        <v>0.26084490740322508</v>
      </c>
    </row>
    <row r="30" spans="1:19">
      <c r="A30" s="15">
        <v>29</v>
      </c>
      <c r="B30" s="15">
        <v>25</v>
      </c>
      <c r="C30" s="15"/>
      <c r="D30" s="15">
        <v>17</v>
      </c>
      <c r="E30" s="15" t="s">
        <v>75</v>
      </c>
      <c r="F30" s="15"/>
      <c r="G30" s="15"/>
      <c r="H30" s="15">
        <v>2</v>
      </c>
      <c r="I30" s="15">
        <v>1</v>
      </c>
      <c r="J30" s="15">
        <v>2</v>
      </c>
      <c r="K30" s="15">
        <v>1</v>
      </c>
      <c r="L30" s="22">
        <v>43542.75472222222</v>
      </c>
      <c r="M30" s="22">
        <v>43543.022164351853</v>
      </c>
      <c r="N30" s="15">
        <v>4.5</v>
      </c>
      <c r="O30" s="15">
        <v>5</v>
      </c>
      <c r="P30" s="25" t="s">
        <v>196</v>
      </c>
      <c r="Q30" s="15"/>
      <c r="R30" s="15"/>
      <c r="S30" s="26">
        <f t="shared" si="0"/>
        <v>0.26744212963239988</v>
      </c>
    </row>
    <row r="31" spans="1:19">
      <c r="A31" s="15">
        <v>30</v>
      </c>
      <c r="B31" s="15">
        <v>22</v>
      </c>
      <c r="C31" s="15"/>
      <c r="D31" s="15">
        <v>15</v>
      </c>
      <c r="E31" s="15" t="s">
        <v>75</v>
      </c>
      <c r="F31" s="15"/>
      <c r="G31" s="15"/>
      <c r="H31" s="15">
        <v>3</v>
      </c>
      <c r="I31" s="15">
        <v>1</v>
      </c>
      <c r="J31" s="15">
        <v>3</v>
      </c>
      <c r="K31" s="15">
        <v>1</v>
      </c>
      <c r="L31" s="22">
        <v>43542.754733796297</v>
      </c>
      <c r="M31" s="22">
        <v>43542.784166666665</v>
      </c>
      <c r="N31" s="15">
        <v>5.5</v>
      </c>
      <c r="O31" s="15">
        <v>6</v>
      </c>
      <c r="P31" s="25" t="s">
        <v>197</v>
      </c>
      <c r="Q31" s="15"/>
      <c r="R31" s="15"/>
      <c r="S31" s="26">
        <f t="shared" si="0"/>
        <v>2.9432870367600117E-2</v>
      </c>
    </row>
    <row r="32" spans="1:19">
      <c r="A32" s="15">
        <v>31</v>
      </c>
      <c r="B32" s="15" t="s">
        <v>213</v>
      </c>
      <c r="C32" s="15"/>
      <c r="D32" s="15">
        <v>1</v>
      </c>
      <c r="E32" s="15" t="s">
        <v>75</v>
      </c>
      <c r="F32" s="15"/>
      <c r="G32" s="15"/>
      <c r="H32" s="15">
        <v>2</v>
      </c>
      <c r="I32" s="15">
        <v>1</v>
      </c>
      <c r="J32" s="15">
        <v>2</v>
      </c>
      <c r="K32" s="15">
        <v>1</v>
      </c>
      <c r="L32" s="22">
        <v>43543.575983796298</v>
      </c>
      <c r="M32" s="22">
        <v>43543.730381944442</v>
      </c>
      <c r="N32" s="15">
        <v>5</v>
      </c>
      <c r="O32" s="15">
        <v>5.5</v>
      </c>
      <c r="P32" s="25" t="s">
        <v>206</v>
      </c>
      <c r="Q32" s="15"/>
      <c r="R32" s="15"/>
      <c r="S32" s="26">
        <f t="shared" si="0"/>
        <v>0.15439814814453712</v>
      </c>
    </row>
    <row r="33" spans="1:19">
      <c r="A33" s="15">
        <v>32</v>
      </c>
      <c r="B33" s="15" t="s">
        <v>213</v>
      </c>
      <c r="C33" s="15"/>
      <c r="D33" s="15">
        <v>1</v>
      </c>
      <c r="E33" s="15" t="s">
        <v>75</v>
      </c>
      <c r="F33" s="15"/>
      <c r="G33" s="15"/>
      <c r="H33" s="15">
        <v>3</v>
      </c>
      <c r="I33" s="15">
        <v>1</v>
      </c>
      <c r="J33" s="15">
        <v>3</v>
      </c>
      <c r="K33" s="15">
        <v>1</v>
      </c>
      <c r="L33" s="22">
        <v>43543.575995370367</v>
      </c>
      <c r="M33" s="22">
        <v>43543.738738425927</v>
      </c>
      <c r="N33" s="15">
        <v>6</v>
      </c>
      <c r="O33" s="15">
        <v>6.5</v>
      </c>
      <c r="P33" s="25" t="s">
        <v>207</v>
      </c>
      <c r="Q33" s="15"/>
      <c r="R33" s="15"/>
      <c r="S33" s="26">
        <f t="shared" si="0"/>
        <v>0.16274305555998581</v>
      </c>
    </row>
    <row r="34" spans="1:19">
      <c r="A34" s="15">
        <v>33</v>
      </c>
      <c r="B34" s="15">
        <v>1</v>
      </c>
      <c r="C34" s="15"/>
      <c r="D34" s="15">
        <v>5</v>
      </c>
      <c r="E34" s="15" t="s">
        <v>75</v>
      </c>
      <c r="F34" s="15" t="s">
        <v>156</v>
      </c>
      <c r="G34" s="15" t="s">
        <v>212</v>
      </c>
      <c r="H34" s="15">
        <v>2</v>
      </c>
      <c r="I34" s="15">
        <v>1</v>
      </c>
      <c r="J34" s="15">
        <v>2</v>
      </c>
      <c r="K34" s="15">
        <v>1</v>
      </c>
      <c r="L34" s="22">
        <v>43544.460601851853</v>
      </c>
      <c r="M34" s="22">
        <v>43544.719918981478</v>
      </c>
      <c r="N34" s="15">
        <v>5.5</v>
      </c>
      <c r="O34" s="15">
        <v>6</v>
      </c>
      <c r="P34" s="25" t="s">
        <v>198</v>
      </c>
      <c r="Q34" s="15"/>
      <c r="R34" s="15"/>
      <c r="S34" s="26">
        <f t="shared" si="0"/>
        <v>0.25931712962483289</v>
      </c>
    </row>
    <row r="35" spans="1:19">
      <c r="A35" s="15">
        <v>34</v>
      </c>
      <c r="B35" s="15">
        <v>1</v>
      </c>
      <c r="C35" s="15"/>
      <c r="D35" s="15">
        <v>5</v>
      </c>
      <c r="E35" s="15" t="s">
        <v>75</v>
      </c>
      <c r="F35" s="15" t="s">
        <v>156</v>
      </c>
      <c r="G35" s="15" t="s">
        <v>212</v>
      </c>
      <c r="H35" s="15">
        <v>3</v>
      </c>
      <c r="I35" s="15">
        <v>1</v>
      </c>
      <c r="J35" s="15">
        <v>3</v>
      </c>
      <c r="K35" s="15">
        <v>1</v>
      </c>
      <c r="L35" s="22">
        <v>43544.460613425923</v>
      </c>
      <c r="M35" s="22">
        <v>43544.724016203705</v>
      </c>
      <c r="N35" s="15">
        <v>6.5</v>
      </c>
      <c r="O35" s="15">
        <v>7</v>
      </c>
      <c r="P35" s="25" t="s">
        <v>199</v>
      </c>
      <c r="Q35" s="15"/>
      <c r="R35" s="15"/>
      <c r="S35" s="26">
        <f t="shared" si="0"/>
        <v>0.26340277778217569</v>
      </c>
    </row>
    <row r="36" spans="1:19">
      <c r="A36" s="15">
        <v>35</v>
      </c>
      <c r="B36" s="15" t="s">
        <v>213</v>
      </c>
      <c r="C36" s="15"/>
      <c r="D36" s="15">
        <v>1</v>
      </c>
      <c r="E36" s="15" t="s">
        <v>75</v>
      </c>
      <c r="F36" s="15"/>
      <c r="G36" s="15"/>
      <c r="H36" s="15">
        <v>2</v>
      </c>
      <c r="I36" s="15">
        <v>1</v>
      </c>
      <c r="J36" s="15">
        <v>2</v>
      </c>
      <c r="K36" s="15">
        <v>1</v>
      </c>
      <c r="L36" s="22">
        <v>43544.755613425928</v>
      </c>
      <c r="M36" s="22">
        <v>43545.021041666667</v>
      </c>
      <c r="N36" s="15">
        <v>6</v>
      </c>
      <c r="O36" s="15">
        <v>6.5</v>
      </c>
      <c r="P36" s="25" t="s">
        <v>208</v>
      </c>
      <c r="Q36" s="15"/>
      <c r="R36" s="15"/>
      <c r="S36" s="26">
        <f t="shared" si="0"/>
        <v>0.26542824073840166</v>
      </c>
    </row>
    <row r="37" spans="1:19">
      <c r="A37" s="15">
        <v>36</v>
      </c>
      <c r="B37" s="15" t="s">
        <v>213</v>
      </c>
      <c r="C37" s="15"/>
      <c r="D37" s="15">
        <v>1</v>
      </c>
      <c r="E37" s="15" t="s">
        <v>75</v>
      </c>
      <c r="F37" s="15"/>
      <c r="G37" s="15"/>
      <c r="H37" s="15">
        <v>3</v>
      </c>
      <c r="I37" s="15">
        <v>1</v>
      </c>
      <c r="J37" s="15">
        <v>3</v>
      </c>
      <c r="K37" s="15">
        <v>1</v>
      </c>
      <c r="L37" s="22">
        <v>43544.755624999998</v>
      </c>
      <c r="M37" s="22">
        <v>43545.023298611108</v>
      </c>
      <c r="N37" s="15">
        <v>7</v>
      </c>
      <c r="O37" s="15">
        <v>7.5</v>
      </c>
      <c r="P37" s="25" t="s">
        <v>209</v>
      </c>
      <c r="Q37" s="15"/>
      <c r="R37" s="15"/>
      <c r="S37" s="26">
        <f t="shared" si="0"/>
        <v>0.26767361110978527</v>
      </c>
    </row>
    <row r="38" spans="1:19">
      <c r="A38" s="15">
        <v>37</v>
      </c>
      <c r="B38" s="15">
        <v>28</v>
      </c>
      <c r="C38" s="15"/>
      <c r="D38" s="15">
        <v>18</v>
      </c>
      <c r="E38" s="15" t="s">
        <v>75</v>
      </c>
      <c r="F38" s="15"/>
      <c r="G38" s="15"/>
      <c r="H38" s="15">
        <v>1</v>
      </c>
      <c r="I38" s="15">
        <v>1</v>
      </c>
      <c r="J38" s="15">
        <v>1</v>
      </c>
      <c r="K38" s="15">
        <v>1</v>
      </c>
      <c r="L38" s="22">
        <v>43550.403240740743</v>
      </c>
      <c r="M38" s="22">
        <v>43550.591516203705</v>
      </c>
      <c r="N38" s="15">
        <v>4.5</v>
      </c>
      <c r="O38" s="15">
        <v>5</v>
      </c>
      <c r="P38" s="25" t="s">
        <v>200</v>
      </c>
      <c r="Q38" s="15"/>
      <c r="R38" s="15"/>
      <c r="S38" s="26">
        <f t="shared" si="0"/>
        <v>0.18827546296233777</v>
      </c>
    </row>
    <row r="39" spans="1:19">
      <c r="A39" s="15">
        <v>38</v>
      </c>
      <c r="B39" s="15">
        <v>3</v>
      </c>
      <c r="C39" s="15"/>
      <c r="D39" s="15"/>
      <c r="E39" s="15" t="s">
        <v>86</v>
      </c>
      <c r="F39" s="15"/>
      <c r="G39" s="15"/>
      <c r="H39" s="15"/>
      <c r="I39" s="15"/>
      <c r="J39" s="15"/>
      <c r="K39" s="15"/>
      <c r="L39" s="22"/>
      <c r="M39" s="22"/>
      <c r="N39" s="15"/>
      <c r="O39" s="15"/>
      <c r="P39" s="25"/>
      <c r="Q39" s="15"/>
      <c r="R39" s="15"/>
      <c r="S39" s="26"/>
    </row>
    <row r="40" spans="1:19">
      <c r="A40" s="15">
        <v>39</v>
      </c>
      <c r="B40" s="15">
        <v>10</v>
      </c>
      <c r="C40" s="15"/>
      <c r="D40" s="15"/>
      <c r="E40" s="15" t="s">
        <v>86</v>
      </c>
      <c r="F40" s="15"/>
      <c r="G40" s="15"/>
      <c r="H40" s="15"/>
      <c r="I40" s="15"/>
      <c r="J40" s="15"/>
      <c r="K40" s="15"/>
      <c r="L40" s="15"/>
      <c r="M40" s="15"/>
      <c r="N40" s="15"/>
      <c r="O40" s="15"/>
      <c r="P40" s="27"/>
      <c r="Q40" s="15"/>
      <c r="R40" s="15"/>
      <c r="S40" s="26"/>
    </row>
    <row r="41" spans="1:19">
      <c r="A41" s="15">
        <v>40</v>
      </c>
      <c r="B41" s="15">
        <v>11</v>
      </c>
      <c r="C41" s="15"/>
      <c r="D41" s="15"/>
      <c r="E41" s="15" t="s">
        <v>86</v>
      </c>
      <c r="F41" s="15"/>
      <c r="G41" s="15"/>
      <c r="H41" s="15"/>
      <c r="I41" s="15"/>
      <c r="J41" s="15"/>
      <c r="K41" s="15"/>
      <c r="L41" s="15"/>
      <c r="M41" s="15"/>
      <c r="N41" s="15"/>
      <c r="O41" s="15"/>
      <c r="P41" s="27"/>
      <c r="Q41" s="15"/>
      <c r="R41" s="15"/>
      <c r="S41" s="26"/>
    </row>
    <row r="42" spans="1:19">
      <c r="A42" s="15">
        <v>41</v>
      </c>
      <c r="B42" s="15">
        <v>16</v>
      </c>
      <c r="C42" s="15"/>
      <c r="D42" s="15"/>
      <c r="E42" s="15" t="s">
        <v>86</v>
      </c>
      <c r="F42" s="15"/>
      <c r="G42" s="15"/>
      <c r="H42" s="15"/>
      <c r="I42" s="15"/>
      <c r="J42" s="15"/>
      <c r="K42" s="15"/>
      <c r="L42" s="15"/>
      <c r="M42" s="15"/>
      <c r="N42" s="15"/>
      <c r="O42" s="15"/>
      <c r="P42" s="27"/>
      <c r="Q42" s="15"/>
      <c r="R42" s="15"/>
      <c r="S42" s="26"/>
    </row>
    <row r="43" spans="1:19">
      <c r="A43" s="15">
        <v>42</v>
      </c>
      <c r="B43" s="15">
        <v>17</v>
      </c>
      <c r="C43" s="15"/>
      <c r="D43" s="15"/>
      <c r="E43" s="15" t="s">
        <v>86</v>
      </c>
      <c r="F43" s="15"/>
      <c r="G43" s="15"/>
      <c r="H43" s="15"/>
      <c r="I43" s="15"/>
      <c r="J43" s="15"/>
      <c r="K43" s="15"/>
      <c r="L43" s="15"/>
      <c r="M43" s="15"/>
      <c r="N43" s="15"/>
      <c r="O43" s="15"/>
      <c r="P43" s="27"/>
      <c r="Q43" s="15"/>
      <c r="R43" s="15"/>
      <c r="S43" s="26"/>
    </row>
    <row r="44" spans="1:19">
      <c r="A44" s="15">
        <v>43</v>
      </c>
      <c r="B44" s="15">
        <v>18</v>
      </c>
      <c r="C44" s="15"/>
      <c r="D44" s="15"/>
      <c r="E44" s="15" t="s">
        <v>86</v>
      </c>
      <c r="F44" s="15"/>
      <c r="G44" s="15"/>
      <c r="H44" s="15"/>
      <c r="I44" s="15"/>
      <c r="J44" s="15"/>
      <c r="K44" s="15"/>
      <c r="L44" s="15"/>
      <c r="M44" s="15"/>
      <c r="N44" s="15"/>
      <c r="O44" s="15"/>
      <c r="P44" s="27"/>
      <c r="Q44" s="15"/>
      <c r="R44" s="15"/>
      <c r="S44" s="26"/>
    </row>
    <row r="45" spans="1:19">
      <c r="A45" s="15">
        <v>44</v>
      </c>
      <c r="B45" s="15">
        <v>19</v>
      </c>
      <c r="C45" s="15"/>
      <c r="D45" s="15"/>
      <c r="E45" s="15" t="s">
        <v>86</v>
      </c>
      <c r="F45" s="15"/>
      <c r="G45" s="15"/>
      <c r="H45" s="15"/>
      <c r="I45" s="15"/>
      <c r="J45" s="15"/>
      <c r="K45" s="15"/>
      <c r="L45" s="15"/>
      <c r="M45" s="15"/>
      <c r="N45" s="15"/>
      <c r="O45" s="15"/>
      <c r="P45" s="27"/>
      <c r="Q45" s="15"/>
      <c r="R45" s="15"/>
      <c r="S45" s="26"/>
    </row>
    <row r="46" spans="1:19">
      <c r="A46" s="15">
        <v>45</v>
      </c>
      <c r="B46" s="15">
        <v>20</v>
      </c>
      <c r="C46" s="15"/>
      <c r="D46" s="15"/>
      <c r="E46" s="15" t="s">
        <v>86</v>
      </c>
      <c r="F46" s="15"/>
      <c r="G46" s="15"/>
      <c r="H46" s="15"/>
      <c r="I46" s="15"/>
      <c r="J46" s="15"/>
      <c r="K46" s="15"/>
      <c r="L46" s="15"/>
      <c r="M46" s="15"/>
      <c r="N46" s="15"/>
      <c r="O46" s="15"/>
      <c r="P46" s="27"/>
      <c r="Q46" s="15"/>
      <c r="R46" s="15"/>
      <c r="S46" s="26"/>
    </row>
    <row r="47" spans="1:19">
      <c r="A47" s="15">
        <v>46</v>
      </c>
      <c r="B47" s="15">
        <v>21</v>
      </c>
      <c r="C47" s="15"/>
      <c r="D47" s="15"/>
      <c r="E47" s="15" t="s">
        <v>86</v>
      </c>
      <c r="F47" s="15"/>
      <c r="G47" s="15"/>
      <c r="H47" s="15"/>
      <c r="I47" s="15"/>
      <c r="J47" s="15"/>
      <c r="K47" s="15"/>
      <c r="L47" s="15"/>
      <c r="M47" s="15"/>
      <c r="N47" s="15"/>
      <c r="O47" s="15"/>
      <c r="P47" s="27"/>
      <c r="Q47" s="15"/>
      <c r="R47" s="15"/>
      <c r="S47" s="26"/>
    </row>
    <row r="48" spans="1:19">
      <c r="A48" s="15">
        <v>47</v>
      </c>
      <c r="B48" s="15">
        <v>29</v>
      </c>
      <c r="C48" s="15"/>
      <c r="D48" s="15">
        <v>19</v>
      </c>
      <c r="E48" s="15" t="s">
        <v>76</v>
      </c>
      <c r="F48" s="15"/>
      <c r="G48" s="15"/>
      <c r="H48" s="15">
        <v>1</v>
      </c>
      <c r="I48" s="15"/>
      <c r="J48" s="15"/>
      <c r="K48" s="15"/>
      <c r="L48" s="15"/>
      <c r="M48" s="15"/>
      <c r="N48" s="15"/>
      <c r="O48" s="15"/>
      <c r="P48" s="27"/>
      <c r="Q48" s="15"/>
      <c r="R48" s="15"/>
      <c r="S48" s="15"/>
    </row>
    <row r="49" spans="1:19">
      <c r="A49" s="15">
        <v>48</v>
      </c>
      <c r="B49" s="15">
        <v>30</v>
      </c>
      <c r="C49" s="15"/>
      <c r="D49" s="15">
        <v>20</v>
      </c>
      <c r="E49" s="15" t="s">
        <v>76</v>
      </c>
      <c r="F49" s="15"/>
      <c r="G49" s="15"/>
      <c r="H49" s="15">
        <v>4</v>
      </c>
      <c r="I49" s="15"/>
      <c r="J49" s="15"/>
      <c r="K49" s="15"/>
      <c r="L49" s="15"/>
      <c r="M49" s="15"/>
      <c r="N49" s="15"/>
      <c r="O49" s="15"/>
      <c r="P49" s="27"/>
      <c r="Q49" s="15"/>
      <c r="R49" s="15"/>
      <c r="S49" s="15"/>
    </row>
    <row r="50" spans="1:19">
      <c r="A50" s="15">
        <v>49</v>
      </c>
      <c r="B50" s="15">
        <v>31</v>
      </c>
      <c r="C50" s="15"/>
      <c r="D50" s="15">
        <v>21</v>
      </c>
      <c r="E50" s="15" t="s">
        <v>76</v>
      </c>
      <c r="F50" s="15"/>
      <c r="G50" s="15"/>
      <c r="H50" s="15">
        <v>4</v>
      </c>
      <c r="I50" s="15"/>
      <c r="J50" s="15"/>
      <c r="K50" s="15"/>
      <c r="L50" s="15"/>
      <c r="M50" s="15"/>
      <c r="N50" s="15"/>
      <c r="O50" s="15"/>
      <c r="P50" s="27"/>
      <c r="Q50" s="15"/>
      <c r="R50" s="15"/>
      <c r="S50" s="15"/>
    </row>
    <row r="51" spans="1:19">
      <c r="A51" s="15">
        <v>50</v>
      </c>
      <c r="B51" s="15">
        <v>32</v>
      </c>
      <c r="C51" s="15"/>
      <c r="D51" s="15">
        <v>22</v>
      </c>
      <c r="E51" s="15" t="s">
        <v>76</v>
      </c>
      <c r="F51" s="15"/>
      <c r="G51" s="15"/>
      <c r="H51" s="15">
        <v>4</v>
      </c>
      <c r="I51" s="15"/>
      <c r="J51" s="15"/>
      <c r="K51" s="15"/>
      <c r="L51" s="15"/>
      <c r="M51" s="15"/>
      <c r="N51" s="15"/>
      <c r="O51" s="15"/>
      <c r="P51" s="27"/>
      <c r="Q51" s="15"/>
      <c r="R51" s="15"/>
      <c r="S51" s="15"/>
    </row>
  </sheetData>
  <hyperlinks>
    <hyperlink ref="P2" r:id="rId1"/>
    <hyperlink ref="P3" r:id="rId2"/>
    <hyperlink ref="P4" r:id="rId3"/>
    <hyperlink ref="P5" r:id="rId4"/>
    <hyperlink ref="P6" r:id="rId5"/>
    <hyperlink ref="P7" r:id="rId6"/>
    <hyperlink ref="P8" r:id="rId7"/>
    <hyperlink ref="P9" r:id="rId8"/>
    <hyperlink ref="P10" r:id="rId9"/>
    <hyperlink ref="P11" r:id="rId10"/>
    <hyperlink ref="P12" r:id="rId11"/>
    <hyperlink ref="P13" r:id="rId12"/>
    <hyperlink ref="P14" r:id="rId13"/>
    <hyperlink ref="P15" r:id="rId14"/>
    <hyperlink ref="P16" r:id="rId15"/>
    <hyperlink ref="P17" r:id="rId16"/>
    <hyperlink ref="P18" r:id="rId17"/>
    <hyperlink ref="P22" r:id="rId18"/>
    <hyperlink ref="P23" r:id="rId19"/>
    <hyperlink ref="P26" r:id="rId20"/>
    <hyperlink ref="P27" r:id="rId21"/>
    <hyperlink ref="P30" r:id="rId22"/>
    <hyperlink ref="P31" r:id="rId23"/>
    <hyperlink ref="P34" r:id="rId24"/>
    <hyperlink ref="P35" r:id="rId25"/>
    <hyperlink ref="P38" r:id="rId26"/>
    <hyperlink ref="P19" r:id="rId27"/>
    <hyperlink ref="P20" r:id="rId28"/>
    <hyperlink ref="P21" r:id="rId29"/>
    <hyperlink ref="P28" r:id="rId30"/>
    <hyperlink ref="P29" r:id="rId31"/>
    <hyperlink ref="P32" r:id="rId32"/>
    <hyperlink ref="P33" r:id="rId33"/>
    <hyperlink ref="P36" r:id="rId34"/>
    <hyperlink ref="P37" r:id="rId35"/>
    <hyperlink ref="P24" r:id="rId36"/>
    <hyperlink ref="P25" r:id="rId3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Version History</vt:lpstr>
      <vt:lpstr>Introduction</vt:lpstr>
      <vt:lpstr>Issue List</vt:lpstr>
      <vt:lpstr>Tester</vt:lpstr>
      <vt:lpstr>Chamber</vt:lpstr>
      <vt:lpstr>Battery Models</vt:lpstr>
      <vt:lpstr>Batteries</vt:lpstr>
      <vt:lpstr>Storage Records</vt:lpstr>
      <vt:lpstr>Programs</vt:lpstr>
      <vt:lpstr>Sub Programs</vt:lpstr>
      <vt:lpstr>Recipes</vt:lpstr>
      <vt:lpstr>Chamber Recipes</vt:lpstr>
      <vt:lpstr>Tester Recipes</vt:lpstr>
      <vt:lpstr>Requests</vt:lpstr>
      <vt:lpstr>Scheduler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2019-04-08T09:34:05Z</dcterms:modified>
</cp:coreProperties>
</file>